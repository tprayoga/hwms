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9d938a102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db34dedccb4b6f"/>
    <x:sheet xmlns:r="http://schemas.openxmlformats.org/officeDocument/2006/relationships" name="CTO Dashboard" sheetId="2" r:id="R31ffbaa4ea0f40b5"/>
    <x:sheet xmlns:r="http://schemas.openxmlformats.org/officeDocument/2006/relationships" name="Sprint Plan" sheetId="3" r:id="Raaf917681fb8465e"/>
    <x:sheet xmlns:r="http://schemas.openxmlformats.org/officeDocument/2006/relationships" name="Sprint Tasks" sheetId="4" r:id="R13f6b2a4876b49a8"/>
    <x:sheet xmlns:r="http://schemas.openxmlformats.org/officeDocument/2006/relationships" name="Program OKR" sheetId="5" r:id="R7e2914ccf72242c5"/>
    <x:sheet xmlns:r="http://schemas.openxmlformats.org/officeDocument/2006/relationships" name="Role KPI" sheetId="6" r:id="R0cd3f64f2f7d40bd"/>
    <x:sheet xmlns:r="http://schemas.openxmlformats.org/officeDocument/2006/relationships" name="Personal Scorecard" sheetId="7" r:id="R70ea936586ba4edc"/>
    <x:sheet xmlns:r="http://schemas.openxmlformats.org/officeDocument/2006/relationships" name="Weekly Review" sheetId="8" r:id="Re59771e7e1234a9d"/>
    <x:sheet xmlns:r="http://schemas.openxmlformats.org/officeDocument/2006/relationships" name="Monthly Gate" sheetId="9" r:id="R8a348dcf215c416c"/>
    <x:sheet xmlns:r="http://schemas.openxmlformats.org/officeDocument/2006/relationships" name="Risk Register" sheetId="10" r:id="Rd21ede88d4fa41b6"/>
    <x:sheet xmlns:r="http://schemas.openxmlformats.org/officeDocument/2006/relationships" name="Sales Pipeline" sheetId="11" r:id="R38a3f03ed5a54982"/>
    <x:sheet xmlns:r="http://schemas.openxmlformats.org/officeDocument/2006/relationships" name="Lookups" sheetId="12" r:id="R6684e601f293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"/>
    <x:numFmt numFmtId="203" formatCode="#,##0"/>
  </x:numFmts>
  <x:fonts count="6">
    <x:font>
      <x:sz val="11"/>
      <x:name val="Carlito"/>
    </x:font>
    <x:font>
      <x:b/>
      <x:sz val="11"/>
      <x:color rgb="FF0B1F3A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E2F0D9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1" fontId="4" fillId="6" borderId="0" xfId="0" applyNumberFormat="1" applyFont="1" applyFill="1" applyBorder="1" applyAlignment="1">
      <x:alignment horizontal="center"/>
    </x:xf>
    <x:xf numFmtId="201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color rgb="FFFFFFFF"/>
      </x:font>
      <x:fill>
        <x:patternFill>
          <x:bgColor rgb="FF000000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color rgb="FFFFFFFF"/>
      </x:font>
      <x:fill>
        <x:patternFill>
          <x:bgColor rgb="FF000000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color rgb="FFFFFFFF"/>
      </x:font>
      <x:fill>
        <x:patternFill>
          <x:bgColor rgb="FF000000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color rgb="FFFFFFFF"/>
      </x:font>
      <x:fill>
        <x:patternFill>
          <x:bgColor rgb="FF000000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color rgb="FFFFFFFF"/>
      </x:font>
      <x:fill>
        <x:patternFill>
          <x:bgColor rgb="FF000000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color rgb="FFFFFFFF"/>
      </x:font>
      <x:fill>
        <x:patternFill>
          <x:bgColor rgb="FF000000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color rgb="FFFFFFFF"/>
      </x:font>
      <x:fill>
        <x:patternFill>
          <x:bgColor rgb="FF00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58ab3ad3943f1" /><Relationship Type="http://schemas.openxmlformats.org/officeDocument/2006/relationships/theme" Target="/xl/theme/theme1.xml" Id="Rc42420f6b4764e50" /><Relationship Type="http://schemas.openxmlformats.org/officeDocument/2006/relationships/sharedStrings" Target="/xl/sharedStrings.xml" Id="R0d93cde812704e3c" /><Relationship Type="http://schemas.openxmlformats.org/officeDocument/2006/relationships/worksheet" Target="/xl/worksheets/sheet1.xml" Id="R9ddb34dedccb4b6f" /><Relationship Type="http://schemas.openxmlformats.org/officeDocument/2006/relationships/worksheet" Target="/xl/worksheets/sheet2.xml" Id="R31ffbaa4ea0f40b5" /><Relationship Type="http://schemas.openxmlformats.org/officeDocument/2006/relationships/worksheet" Target="/xl/worksheets/sheet3.xml" Id="Raaf917681fb8465e" /><Relationship Type="http://schemas.openxmlformats.org/officeDocument/2006/relationships/worksheet" Target="/xl/worksheets/sheet4.xml" Id="R13f6b2a4876b49a8" /><Relationship Type="http://schemas.openxmlformats.org/officeDocument/2006/relationships/worksheet" Target="/xl/worksheets/sheet5.xml" Id="R7e2914ccf72242c5" /><Relationship Type="http://schemas.openxmlformats.org/officeDocument/2006/relationships/worksheet" Target="/xl/worksheets/sheet6.xml" Id="R0cd3f64f2f7d40bd" /><Relationship Type="http://schemas.openxmlformats.org/officeDocument/2006/relationships/worksheet" Target="/xl/worksheets/sheet7.xml" Id="R70ea936586ba4edc" /><Relationship Type="http://schemas.openxmlformats.org/officeDocument/2006/relationships/worksheet" Target="/xl/worksheets/sheet8.xml" Id="Re59771e7e1234a9d" /><Relationship Type="http://schemas.openxmlformats.org/officeDocument/2006/relationships/worksheet" Target="/xl/worksheets/sheet9.xml" Id="R8a348dcf215c416c" /><Relationship Type="http://schemas.openxmlformats.org/officeDocument/2006/relationships/worksheet" Target="/xl/worksheets/sheet10.xml" Id="Rd21ede88d4fa41b6" /><Relationship Type="http://schemas.openxmlformats.org/officeDocument/2006/relationships/worksheet" Target="/xl/worksheets/sheet11.xml" Id="R38a3f03ed5a54982" /><Relationship Type="http://schemas.openxmlformats.org/officeDocument/2006/relationships/worksheet" Target="/xl/worksheets/sheet12.xml" Id="R6684e601f29346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8806a1db0342aa" /><Relationship Type="http://schemas.openxmlformats.org/officeDocument/2006/relationships/chart" Target="/xl/drawings/charts/chart2.xml" Id="R8eada9f64e0c49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Completion by Role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'CTO Dashboard'!$A$16:$A$23</c:f>
              <c:strCache>
                <c:ptCount val="0"/>
              </c:strCache>
            </c:strRef>
          </c:cat>
          <c:val>
            <c:numRef>
              <c:f>'CTO Dashboard'!$B$16:$B$23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'CTO Dashboard'!$A$16:$A$23</c:f>
              <c:strCache>
                <c:ptCount val="0"/>
              </c:strCache>
            </c:strRef>
          </c:cat>
          <c:val>
            <c:numRef>
              <c:f>'CTO Dashboard'!$C$16:$C$23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Completion %</c:v>
          </c:tx>
          <c:cat>
            <c:strRef>
              <c:f>'CTO Dashboard'!$A$16:$A$23</c:f>
              <c:strCache>
                <c:ptCount val="0"/>
              </c:strCache>
            </c:strRef>
          </c:cat>
          <c:val>
            <c:numRef>
              <c:f>'CTO Dashboard'!$D$16:$D$23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Completion by Sprint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'CTO Dashboard'!$F$16:$F$27</c:f>
              <c:strCache>
                <c:ptCount val="0"/>
              </c:strCache>
            </c:strRef>
          </c:cat>
          <c:val>
            <c:numRef>
              <c:f>'CTO Dashboard'!$G$16:$G$27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'CTO Dashboard'!$F$16:$F$27</c:f>
              <c:strCache>
                <c:ptCount val="0"/>
              </c:strCache>
            </c:strRef>
          </c:cat>
          <c:val>
            <c:numRef>
              <c:f>'CTO Dashboard'!$H$16:$H$27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Completion %</c:v>
          </c:tx>
          <c:cat>
            <c:strRef>
              <c:f>'CTO Dashboard'!$F$16:$F$27</c:f>
              <c:strCache>
                <c:ptCount val="0"/>
              </c:strCache>
            </c:strRef>
          </c:cat>
          <c:val>
            <c:numRef>
              <c:f>'CTO Dashboard'!$I$16:$I$27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6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8806a1db0342aa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ada9f64e0c494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printTasksTable" displayName="SprintTasksTable" ref="A2:U458" headerRowCount="1">
  <x:tableColumns count="21">
    <x:tableColumn id="1" name="Task ID"/>
    <x:tableColumn id="2" name="Sprint"/>
    <x:tableColumn id="3" name="Month"/>
    <x:tableColumn id="4" name="Role"/>
    <x:tableColumn id="5" name="Workstream"/>
    <x:tableColumn id="6" name="Task"/>
    <x:tableColumn id="7" name="Deliverable"/>
    <x:tableColumn id="8" name="Priority"/>
    <x:tableColumn id="9" name="Planned Start"/>
    <x:tableColumn id="10" name="Planned End"/>
    <x:tableColumn id="11" name="Owner"/>
    <x:tableColumn id="12" name="Status"/>
    <x:tableColumn id="13" name="% Complete"/>
    <x:tableColumn id="14" name="Weight"/>
    <x:tableColumn id="15" name="KPI Link"/>
    <x:tableColumn id="16" name="OKR Link"/>
    <x:tableColumn id="17" name="Dependencies"/>
    <x:tableColumn id="18" name="Evidence Link"/>
    <x:tableColumn id="19" name="Risk Level"/>
    <x:tableColumn id="20" name="RAG"/>
    <x:tableColumn id="2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gramOKRTable" displayName="ProgramOKRTable" ref="A2:L25" headerRowCount="1">
  <x:tableColumns count="12">
    <x:tableColumn id="1" name="Owner/Role"/>
    <x:tableColumn id="2" name="Objective ID"/>
    <x:tableColumn id="3" name="Objective"/>
    <x:tableColumn id="4" name="KR ID"/>
    <x:tableColumn id="5" name="Key Result"/>
    <x:tableColumn id="6" name="Target"/>
    <x:tableColumn id="7" name="Due Sprint"/>
    <x:tableColumn id="8" name="Actual"/>
    <x:tableColumn id="9" name="Confidence"/>
    <x:tableColumn id="10" name="Status"/>
    <x:tableColumn id="11" name="RAG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oleKPITable" displayName="RoleKPITable" ref="A2:M42" headerRowCount="1">
  <x:tableColumns count="13">
    <x:tableColumn id="1" name="Role"/>
    <x:tableColumn id="2" name="KPI ID"/>
    <x:tableColumn id="3" name="KPI Name"/>
    <x:tableColumn id="4" name="Direction"/>
    <x:tableColumn id="5" name="Target Value"/>
    <x:tableColumn id="6" name="Unit"/>
    <x:tableColumn id="7" name="Frequency"/>
    <x:tableColumn id="8" name="Weight"/>
    <x:tableColumn id="9" name="Actual"/>
    <x:tableColumn id="10" name="Score"/>
    <x:tableColumn id="11" name="RAG"/>
    <x:tableColumn id="12" name="Evidence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ersonalScorecardTable" displayName="PersonalScorecardTable" ref="A2:M50" headerRowCount="1">
  <x:tableColumns count="13">
    <x:tableColumn id="1" name="Person"/>
    <x:tableColumn id="2" name="Role"/>
    <x:tableColumn id="3" name="Period"/>
    <x:tableColumn id="4" name="Task Completion"/>
    <x:tableColumn id="5" name="Quality/Bug Score"/>
    <x:tableColumn id="6" name="Documentation"/>
    <x:tableColumn id="7" name="Collaboration"/>
    <x:tableColumn id="8" name="Blocker Handling"/>
    <x:tableColumn id="9" name="Weighted Score"/>
    <x:tableColumn id="10" name="Rating"/>
    <x:tableColumn id="11" name="RAG"/>
    <x:tableColumn id="12" name="CTO Notes"/>
    <x:tableColumn id="13" name="Action Plan"/>
  </x:tableColumns>
  <x:tableStyleInfo name="TableStyleMedium2" showRowStripes="1"/>
</x:table>
</file>

<file path=xl/tables/table5.xml><?xml version="1.0" encoding="utf-8"?>
<x:table xmlns:x="http://schemas.openxmlformats.org/spreadsheetml/2006/main" id="5" name="WeeklyReviewTable" displayName="WeeklyReviewTable" ref="A2:N194" headerRowCount="1">
  <x:tableColumns count="14">
    <x:tableColumn id="1" name="Week"/>
    <x:tableColumn id="2" name="Sprint"/>
    <x:tableColumn id="3" name="Review Date"/>
    <x:tableColumn id="4" name="Role"/>
    <x:tableColumn id="5" name="RAG"/>
    <x:tableColumn id="6" name="Progress %"/>
    <x:tableColumn id="7" name="Completed Items"/>
    <x:tableColumn id="8" name="Blockers"/>
    <x:tableColumn id="9" name="Decisions Needed"/>
    <x:tableColumn id="10" name="CTO Action"/>
    <x:tableColumn id="11" name="Owner"/>
    <x:tableColumn id="12" name="Due Date"/>
    <x:tableColumn id="13" name="Status"/>
    <x:tableColumn id="1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onthlyGateTable" displayName="MonthlyGateTable" ref="A2:J8" headerRowCount="1">
  <x:tableColumns count="10">
    <x:tableColumn id="1" name="Month"/>
    <x:tableColumn id="2" name="Gate Objective"/>
    <x:tableColumn id="3" name="Engineering Criteria"/>
    <x:tableColumn id="4" name="Sales/Marketing Criteria"/>
    <x:tableColumn id="5" name="Target Evidence"/>
    <x:tableColumn id="6" name="Actual Evidence"/>
    <x:tableColumn id="7" name="Decision"/>
    <x:tableColumn id="8" name="Owner"/>
    <x:tableColumn id="9" name="Decision Date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iskRegisterTable" displayName="RiskRegisterTable" ref="A2:N10" headerRowCount="1">
  <x:tableColumns count="14">
    <x:tableColumn id="1" name="Risk ID"/>
    <x:tableColumn id="2" name="Category"/>
    <x:tableColumn id="3" name="Risk Description"/>
    <x:tableColumn id="4" name="Impact"/>
    <x:tableColumn id="5" name="Probability"/>
    <x:tableColumn id="6" name="Severity"/>
    <x:tableColumn id="7" name="RAG"/>
    <x:tableColumn id="8" name="Owner"/>
    <x:tableColumn id="9" name="Mitigation"/>
    <x:tableColumn id="10" name="Contingency"/>
    <x:tableColumn id="11" name="Due Sprint"/>
    <x:tableColumn id="12" name="Status"/>
    <x:tableColumn id="13" name="Aging Days"/>
    <x:tableColumn id="14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SalesPipelineTable" displayName="SalesPipelineTable" ref="A2:Q22" headerRowCount="1">
  <x:tableColumns count="17">
    <x:tableColumn id="1" name="Account ID"/>
    <x:tableColumn id="2" name="Account Name"/>
    <x:tableColumn id="3" name="Segment"/>
    <x:tableColumn id="4" name="Contact/PIC"/>
    <x:tableColumn id="5" name="Pain Point"/>
    <x:tableColumn id="6" name="Competitor Context"/>
    <x:tableColumn id="7" name="Use Case"/>
    <x:tableColumn id="8" name="Stage"/>
    <x:tableColumn id="9" name="Probability"/>
    <x:tableColumn id="10" name="Expected Value"/>
    <x:tableColumn id="11" name="Next Action"/>
    <x:tableColumn id="12" name="Owner"/>
    <x:tableColumn id="13" name="Due Date"/>
    <x:tableColumn id="14" name="Discovery Date"/>
    <x:tableColumn id="15" name="Proposal Date"/>
    <x:tableColumn id="16" name="RAG"/>
    <x:tableColumn id="1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886c27eceb146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414b9e2e71a46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438f543a7ab44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354cb5b50b146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3e318d7ff0ee41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07b647651c646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4aad56f2cfb045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ac9e4e2d14b47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14fe457948941e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 ht="28" customHeight="1">
      <x:c r="A1" s="15" t="str">
        <x:v>Saft VE Sprint, KPI &amp; OKR Tracker</x:v>
      </x:c>
    </x:row>
    <x:row r="2" ht="28" customHeight="1"/>
    <x:row r="3">
      <x:c r="A3" s="23" t="str">
        <x:v>Tujuan Workbook</x:v>
      </x:c>
    </x:row>
    <x:row r="4" ht="28" customHeight="1">
      <x:c r="A4" s="28" t="str">
        <x:v>Workbook ini dipakai CTO/PMO untuk melacak eksekusi POC Saft VE selama 6 bulan: task per sprint, KPI per role, OKR program, scorecard personel, weekly review, monthly gate, risk register, dan sales pipeline.</x:v>
      </x:c>
      <x:c r="B4" s="28"/>
      <x:c r="C4" s="28"/>
      <x:c r="D4" s="28"/>
      <x:c r="E4" s="28"/>
      <x:c r="F4" s="28"/>
      <x:c r="G4" s="28"/>
      <x:c r="H4" s="28"/>
    </x:row>
    <x:row r="5" ht="28" customHeight="1">
      <x:c r="A5" s="28" t="str">
        <x:v>Cara pakai:</x:v>
      </x:c>
      <x:c r="B5" s="28"/>
      <x:c r="C5" s="28"/>
      <x:c r="D5" s="28"/>
      <x:c r="E5" s="28"/>
      <x:c r="F5" s="28"/>
      <x:c r="G5" s="28"/>
      <x:c r="H5" s="28"/>
    </x:row>
    <x:row r="6" ht="28" customHeight="1">
      <x:c r="A6" s="28" t="str">
        <x:v>1. Ubah Project Start Date di Sprint Plan jika tanggal mulai berubah.</x:v>
      </x:c>
      <x:c r="B6" s="28"/>
      <x:c r="C6" s="28"/>
      <x:c r="D6" s="28"/>
      <x:c r="E6" s="28"/>
      <x:c r="F6" s="28"/>
      <x:c r="G6" s="28"/>
      <x:c r="H6" s="28"/>
    </x:row>
    <x:row r="7" ht="28" customHeight="1">
      <x:c r="A7" s="28" t="str">
        <x:v>2. Isi Owner pada Sprint Tasks dan Role KPI.</x:v>
      </x:c>
      <x:c r="B7" s="28"/>
      <x:c r="C7" s="28"/>
      <x:c r="D7" s="28"/>
      <x:c r="E7" s="28"/>
      <x:c r="F7" s="28"/>
      <x:c r="G7" s="28"/>
      <x:c r="H7" s="28"/>
    </x:row>
    <x:row r="8" ht="28" customHeight="1">
      <x:c r="A8" s="28" t="str">
        <x:v>3. Update Status dan % Complete setiap weekly review.</x:v>
      </x:c>
      <x:c r="B8" s="28"/>
      <x:c r="C8" s="28"/>
      <x:c r="D8" s="28"/>
      <x:c r="E8" s="28"/>
      <x:c r="F8" s="28"/>
      <x:c r="G8" s="28"/>
      <x:c r="H8" s="28"/>
    </x:row>
    <x:row r="9" ht="28" customHeight="1">
      <x:c r="A9" s="28" t="str">
        <x:v>4. Review CTO Dashboard setiap minggu; gunakan RAG Rules untuk eskalasi.</x:v>
      </x:c>
      <x:c r="B9" s="28"/>
      <x:c r="C9" s="28"/>
      <x:c r="D9" s="28"/>
      <x:c r="E9" s="28"/>
      <x:c r="F9" s="28"/>
      <x:c r="G9" s="28"/>
      <x:c r="H9" s="28"/>
    </x:row>
    <x:row r="11">
      <x:c r="A11" s="23" t="str">
        <x:v>Daftar Sheet</x:v>
      </x:c>
    </x:row>
    <x:row r="12">
      <x:c r="A12" s="6" t="str">
        <x:v>CTO Dashboard</x:v>
      </x:c>
      <x:c r="B12" s="6" t="str">
        <x:v>Ringkasan progress, task completion, RAG, blocker, KPI program.</x:v>
      </x:c>
    </x:row>
    <x:row r="13">
      <x:c r="A13" t="str">
        <x:v>Sprint Plan</x:v>
      </x:c>
      <x:c r="B13" t="str">
        <x:v>Timeline 12 sprint / 6 bulan, milestone, expected output.</x:v>
      </x:c>
    </x:row>
    <x:row r="14">
      <x:c r="A14" t="str">
        <x:v>Sprint Tasks</x:v>
      </x:c>
      <x:c r="B14" t="str">
        <x:v>Task detail per sprint dan role, owner, status, RAG, evidence.</x:v>
      </x:c>
    </x:row>
    <x:row r="15">
      <x:c r="A15" t="str">
        <x:v>Program OKR</x:v>
      </x:c>
      <x:c r="B15" t="str">
        <x:v>OKR program dan OKR per role/personel.</x:v>
      </x:c>
    </x:row>
    <x:row r="16">
      <x:c r="A16" t="str">
        <x:v>Role KPI</x:v>
      </x:c>
      <x:c r="B16" t="str">
        <x:v>KPI terukur per role dengan target, actual, score, RAG.</x:v>
      </x:c>
    </x:row>
    <x:row r="17">
      <x:c r="A17" t="str">
        <x:v>Personal Scorecard</x:v>
      </x:c>
      <x:c r="B17" t="str">
        <x:v>Rekap performa tiap personel per bulan/sprint.</x:v>
      </x:c>
    </x:row>
    <x:row r="18">
      <x:c r="A18" t="str">
        <x:v>Weekly Review</x:v>
      </x:c>
      <x:c r="B18" t="str">
        <x:v>Template review mingguan CTO.</x:v>
      </x:c>
    </x:row>
    <x:row r="19">
      <x:c r="A19" t="str">
        <x:v>Monthly Gate</x:v>
      </x:c>
      <x:c r="B19" t="str">
        <x:v>Gate review setiap bulan untuk go/no-go.</x:v>
      </x:c>
    </x:row>
    <x:row r="20">
      <x:c r="A20" t="str">
        <x:v>Risk Register</x:v>
      </x:c>
      <x:c r="B20" t="str">
        <x:v>RAID/risk register lengkap.</x:v>
      </x:c>
    </x:row>
    <x:row r="21">
      <x:c r="A21" t="str">
        <x:v>Sales Pipeline</x:v>
      </x:c>
      <x:c r="B21" t="str">
        <x:v>Pipeline target pilot customer dan sales progress.</x:v>
      </x:c>
    </x:row>
    <x:row r="22">
      <x:c r="A22" t="str">
        <x:v>Lookups</x:v>
      </x:c>
      <x:c r="B22" t="str">
        <x:v>Master list untuk dropdown.</x:v>
      </x:c>
    </x:row>
  </x:sheetData>
  <x:mergeCells>
    <x:mergeCell ref="A1:H1"/>
    <x:mergeCell ref="A3:H3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42" hidden="0" customWidth="1"/>
    <x:col min="9" max="9" width="16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28" customHeight="1">
      <x:c r="A1" s="40" t="str">
        <x:v>Saft VE CTO Dashboard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 ht="28" customHeight="1"/>
    <x:row r="3">
      <x:c r="A3" s="23" t="str">
        <x:v>Program Health</x:v>
      </x:c>
      <x:c r="E3" s="23" t="str">
        <x:v>Task Status Distribution</x:v>
      </x:c>
      <x:c r="J3" s="64" t="str">
        <x:v>CTO Usage Notes
1. Update task status weekly.
2. Enter actual KPI values in Role KPI.
3. Review red/yellow items and blocker aging.
4. Use Monthly Gate for go/no-go decisions.
5. Sales progress is tracked in Sales Pipeline.</x:v>
      </x:c>
    </x:row>
    <x:row r="4">
      <x:c r="A4" s="32" t="str">
        <x:v>Total Tasks</x:v>
      </x:c>
      <x:c r="B4" s="56" t="n">
        <x:f>COUNTA('Sprint Tasks'!$A$3:$A$1000)</x:f>
        <x:v>456</x:v>
      </x:c>
      <x:c r="C4" t="str">
        <x:v>count</x:v>
      </x:c>
      <x:c r="E4" s="6" t="str">
        <x:v>Status</x:v>
      </x:c>
      <x:c r="F4" s="6" t="str">
        <x:v>Count</x:v>
      </x:c>
    </x:row>
    <x:row r="5">
      <x:c r="A5" s="32" t="str">
        <x:v>Completed Tasks</x:v>
      </x:c>
      <x:c r="B5" s="56" t="n">
        <x:f>COUNTIF('Sprint Tasks'!$L:$L,"Done")</x:f>
        <x:v>0</x:v>
      </x:c>
      <x:c r="C5" t="str">
        <x:v>count</x:v>
      </x:c>
      <x:c r="E5" t="str">
        <x:v>Not Started</x:v>
      </x:c>
      <x:c r="F5" t="n">
        <x:f>COUNTIF('Sprint Tasks'!$L:$L,E5)</x:f>
        <x:v>456</x:v>
      </x:c>
    </x:row>
    <x:row r="6">
      <x:c r="A6" s="32" t="str">
        <x:v>Task Completion</x:v>
      </x:c>
      <x:c r="B6" s="60" t="n">
        <x:f>IFERROR(B5/B4,0)</x:f>
        <x:v>0</x:v>
      </x:c>
      <x:c r="C6" t="str">
        <x:v>%</x:v>
      </x:c>
      <x:c r="E6" t="str">
        <x:v>In Progress</x:v>
      </x:c>
      <x:c r="F6" t="n">
        <x:f>COUNTIF('Sprint Tasks'!$L:$L,E6)</x:f>
        <x:v>0</x:v>
      </x:c>
    </x:row>
    <x:row r="7">
      <x:c r="A7" s="32" t="str">
        <x:v>Blocked Tasks</x:v>
      </x:c>
      <x:c r="B7" s="56" t="n">
        <x:f>COUNTIF('Sprint Tasks'!$L:$L,"Blocked")</x:f>
        <x:v>0</x:v>
      </x:c>
      <x:c r="C7" t="str">
        <x:v>count</x:v>
      </x:c>
      <x:c r="E7" t="str">
        <x:v>Done</x:v>
      </x:c>
      <x:c r="F7" t="n">
        <x:f>COUNTIF('Sprint Tasks'!$L:$L,E7)</x:f>
        <x:v>0</x:v>
      </x:c>
    </x:row>
    <x:row r="8">
      <x:c r="A8" s="32" t="str">
        <x:v>Open Risks</x:v>
      </x:c>
      <x:c r="B8" s="56" t="n">
        <x:f>COUNTIF('Risk Register'!$L:$L,"Open")</x:f>
        <x:v>8</x:v>
      </x:c>
      <x:c r="C8" t="str">
        <x:v>count</x:v>
      </x:c>
      <x:c r="E8" t="str">
        <x:v>Blocked</x:v>
      </x:c>
      <x:c r="F8" t="n">
        <x:f>COUNTIF('Sprint Tasks'!$L:$L,E8)</x:f>
        <x:v>0</x:v>
      </x:c>
    </x:row>
    <x:row r="9">
      <x:c r="A9" s="32" t="str">
        <x:v>Red Risks</x:v>
      </x:c>
      <x:c r="B9" s="56" t="n">
        <x:f>COUNTIF('Risk Register'!$G:$G,"Red")</x:f>
        <x:v>1</x:v>
      </x:c>
      <x:c r="C9" t="str">
        <x:v>count</x:v>
      </x:c>
      <x:c r="E9" t="str">
        <x:v>Deferred</x:v>
      </x:c>
      <x:c r="F9" t="n">
        <x:f>COUNTIF('Sprint Tasks'!$L:$L,E9)</x:f>
        <x:v>0</x:v>
      </x:c>
    </x:row>
    <x:row r="10">
      <x:c r="A10" s="32" t="str">
        <x:v>Sales Target Accounts</x:v>
      </x:c>
      <x:c r="B10" s="56" t="n">
        <x:f>COUNTA('Sales Pipeline'!$A$3:$A$100)</x:f>
        <x:v>20</x:v>
      </x:c>
      <x:c r="C10" t="str">
        <x:v>count</x:v>
      </x:c>
      <x:c r="E10" t="str">
        <x:v>Cancelled</x:v>
      </x:c>
      <x:c r="F10" t="n">
        <x:f>COUNTIF('Sprint Tasks'!$L:$L,E10)</x:f>
        <x:v>0</x:v>
      </x:c>
    </x:row>
    <x:row r="11">
      <x:c r="A11" s="32" t="str">
        <x:v>Discovery+ Meetings</x:v>
      </x:c>
      <x:c r="B11" s="56" t="n">
        <x:f>COUNTIF('Sales Pipeline'!$H$3:$H$22,"Discovery Scheduled")+COUNTIF('Sales Pipeline'!$H$3:$H$22,"Discovery Done")+COUNTIF('Sales Pipeline'!$H$3:$H$22,"Proposal Sent")+COUNTIF('Sales Pipeline'!$H$3:$H$22,"Pilot Negotiation")+COUNTIF('Sales Pipeline'!$H$3:$H$22,"Won")</x:f>
        <x:v>0</x:v>
      </x:c>
      <x:c r="C11" t="str">
        <x:v>count</x:v>
      </x:c>
    </x:row>
    <x:row r="14">
      <x:c r="A14" s="23" t="str">
        <x:v>Completion by Role</x:v>
      </x:c>
      <x:c r="F14" s="23" t="str">
        <x:v>Completion by Sprint</x:v>
      </x:c>
    </x:row>
    <x:row r="15">
      <x:c r="A15" s="6" t="str">
        <x:v>Role</x:v>
      </x:c>
      <x:c r="B15" s="6" t="str">
        <x:v>Total</x:v>
      </x:c>
      <x:c r="C15" s="6" t="str">
        <x:v>Done</x:v>
      </x:c>
      <x:c r="D15" s="6" t="str">
        <x:v>Completion %</x:v>
      </x:c>
      <x:c r="F15" s="6" t="str">
        <x:v>Sprint</x:v>
      </x:c>
      <x:c r="G15" s="6" t="str">
        <x:v>Total</x:v>
      </x:c>
      <x:c r="H15" s="6" t="str">
        <x:v>Done</x:v>
      </x:c>
      <x:c r="I15" s="6" t="str">
        <x:v>Completion %</x:v>
      </x:c>
    </x:row>
    <x:row r="16">
      <x:c r="A16" t="str">
        <x:v>Product Owner</x:v>
      </x:c>
      <x:c r="B16" t="n">
        <x:f>COUNTIF('Sprint Tasks'!$D:$D,A16)</x:f>
        <x:v>52</x:v>
      </x:c>
      <x:c r="C16" t="n">
        <x:f>COUNTIFS('Sprint Tasks'!$D:$D,A16,'Sprint Tasks'!$L:$L,"Done")</x:f>
        <x:v>0</x:v>
      </x:c>
      <x:c r="D16" s="38" t="n">
        <x:f>IFERROR(C16/B16,0)</x:f>
        <x:v>0</x:v>
      </x:c>
      <x:c r="F16" t="str">
        <x:v>Sprint 0</x:v>
      </x:c>
      <x:c r="G16" t="n">
        <x:f>COUNTIF('Sprint Tasks'!$B:$B,F16)</x:f>
        <x:v>40</x:v>
      </x:c>
      <x:c r="H16" t="n">
        <x:f>COUNTIFS('Sprint Tasks'!$B:$B,F16,'Sprint Tasks'!$L:$L,"Done")</x:f>
        <x:v>0</x:v>
      </x:c>
      <x:c r="I16" s="38" t="n">
        <x:f>IFERROR(H16/G16,0)</x:f>
        <x:v>0</x:v>
      </x:c>
    </x:row>
    <x:row r="17">
      <x:c r="A17" t="str">
        <x:v>Solution Architect</x:v>
      </x:c>
      <x:c r="B17" t="n">
        <x:f>COUNTIF('Sprint Tasks'!$D:$D,A17)</x:f>
        <x:v>57</x:v>
      </x:c>
      <x:c r="C17" t="n">
        <x:f>COUNTIFS('Sprint Tasks'!$D:$D,A17,'Sprint Tasks'!$L:$L,"Done")</x:f>
        <x:v>0</x:v>
      </x:c>
      <x:c r="D17" s="38" t="n">
        <x:f>IFERROR(C17/B17,0)</x:f>
        <x:v>0</x:v>
      </x:c>
      <x:c r="F17" t="str">
        <x:v>Sprint 1</x:v>
      </x:c>
      <x:c r="G17" t="n">
        <x:f>COUNTIF('Sprint Tasks'!$B:$B,F17)</x:f>
        <x:v>38</x:v>
      </x:c>
      <x:c r="H17" t="n">
        <x:f>COUNTIFS('Sprint Tasks'!$B:$B,F17,'Sprint Tasks'!$L:$L,"Done")</x:f>
        <x:v>0</x:v>
      </x:c>
      <x:c r="I17" s="38" t="n">
        <x:f>IFERROR(H17/G17,0)</x:f>
        <x:v>0</x:v>
      </x:c>
    </x:row>
    <x:row r="18">
      <x:c r="A18" t="str">
        <x:v>Infra/OpenNebula Engineer</x:v>
      </x:c>
      <x:c r="B18" t="n">
        <x:f>COUNTIF('Sprint Tasks'!$D:$D,A18)</x:f>
        <x:v>56</x:v>
      </x:c>
      <x:c r="C18" t="n">
        <x:f>COUNTIFS('Sprint Tasks'!$D:$D,A18,'Sprint Tasks'!$L:$L,"Done")</x:f>
        <x:v>0</x:v>
      </x:c>
      <x:c r="D18" s="38" t="n">
        <x:f>IFERROR(C18/B18,0)</x:f>
        <x:v>0</x:v>
      </x:c>
      <x:c r="F18" t="str">
        <x:v>Sprint 2</x:v>
      </x:c>
      <x:c r="G18" t="n">
        <x:f>COUNTIF('Sprint Tasks'!$B:$B,F18)</x:f>
        <x:v>38</x:v>
      </x:c>
      <x:c r="H18" t="n">
        <x:f>COUNTIFS('Sprint Tasks'!$B:$B,F18,'Sprint Tasks'!$L:$L,"Done")</x:f>
        <x:v>0</x:v>
      </x:c>
      <x:c r="I18" s="38" t="n">
        <x:f>IFERROR(H18/G18,0)</x:f>
        <x:v>0</x:v>
      </x:c>
    </x:row>
    <x:row r="19">
      <x:c r="A19" t="str">
        <x:v>Backend Engineer</x:v>
      </x:c>
      <x:c r="B19" t="n">
        <x:f>COUNTIF('Sprint Tasks'!$D:$D,A19)</x:f>
        <x:v>60</x:v>
      </x:c>
      <x:c r="C19" t="n">
        <x:f>COUNTIFS('Sprint Tasks'!$D:$D,A19,'Sprint Tasks'!$L:$L,"Done")</x:f>
        <x:v>0</x:v>
      </x:c>
      <x:c r="D19" s="38" t="n">
        <x:f>IFERROR(C19/B19,0)</x:f>
        <x:v>0</x:v>
      </x:c>
      <x:c r="F19" t="str">
        <x:v>Sprint 3</x:v>
      </x:c>
      <x:c r="G19" t="n">
        <x:f>COUNTIF('Sprint Tasks'!$B:$B,F19)</x:f>
        <x:v>38</x:v>
      </x:c>
      <x:c r="H19" t="n">
        <x:f>COUNTIFS('Sprint Tasks'!$B:$B,F19,'Sprint Tasks'!$L:$L,"Done")</x:f>
        <x:v>0</x:v>
      </x:c>
      <x:c r="I19" s="38" t="n">
        <x:f>IFERROR(H19/G19,0)</x:f>
        <x:v>0</x:v>
      </x:c>
    </x:row>
    <x:row r="20">
      <x:c r="A20" t="str">
        <x:v>Frontend Engineer</x:v>
      </x:c>
      <x:c r="B20" t="n">
        <x:f>COUNTIF('Sprint Tasks'!$D:$D,A20)</x:f>
        <x:v>60</x:v>
      </x:c>
      <x:c r="C20" t="n">
        <x:f>COUNTIFS('Sprint Tasks'!$D:$D,A20,'Sprint Tasks'!$L:$L,"Done")</x:f>
        <x:v>0</x:v>
      </x:c>
      <x:c r="D20" s="38" t="n">
        <x:f>IFERROR(C20/B20,0)</x:f>
        <x:v>0</x:v>
      </x:c>
      <x:c r="F20" t="str">
        <x:v>Sprint 4</x:v>
      </x:c>
      <x:c r="G20" t="n">
        <x:f>COUNTIF('Sprint Tasks'!$B:$B,F20)</x:f>
        <x:v>35</x:v>
      </x:c>
      <x:c r="H20" t="n">
        <x:f>COUNTIFS('Sprint Tasks'!$B:$B,F20,'Sprint Tasks'!$L:$L,"Done")</x:f>
        <x:v>0</x:v>
      </x:c>
      <x:c r="I20" s="38" t="n">
        <x:f>IFERROR(H20/G20,0)</x:f>
        <x:v>0</x:v>
      </x:c>
    </x:row>
    <x:row r="21">
      <x:c r="A21" t="str">
        <x:v>QA/Tester</x:v>
      </x:c>
      <x:c r="B21" t="n">
        <x:f>COUNTIF('Sprint Tasks'!$D:$D,A21)</x:f>
        <x:v>60</x:v>
      </x:c>
      <x:c r="C21" t="n">
        <x:f>COUNTIFS('Sprint Tasks'!$D:$D,A21,'Sprint Tasks'!$L:$L,"Done")</x:f>
        <x:v>0</x:v>
      </x:c>
      <x:c r="D21" s="38" t="n">
        <x:f>IFERROR(C21/B21,0)</x:f>
        <x:v>0</x:v>
      </x:c>
      <x:c r="F21" t="str">
        <x:v>Sprint 5</x:v>
      </x:c>
      <x:c r="G21" t="n">
        <x:f>COUNTIF('Sprint Tasks'!$B:$B,F21)</x:f>
        <x:v>37</x:v>
      </x:c>
      <x:c r="H21" t="n">
        <x:f>COUNTIFS('Sprint Tasks'!$B:$B,F21,'Sprint Tasks'!$L:$L,"Done")</x:f>
        <x:v>0</x:v>
      </x:c>
      <x:c r="I21" s="38" t="n">
        <x:f>IFERROR(H21/G21,0)</x:f>
        <x:v>0</x:v>
      </x:c>
    </x:row>
    <x:row r="22">
      <x:c r="A22" t="str">
        <x:v>Technical Writer</x:v>
      </x:c>
      <x:c r="B22" t="n">
        <x:f>COUNTIF('Sprint Tasks'!$D:$D,A22)</x:f>
        <x:v>51</x:v>
      </x:c>
      <x:c r="C22" t="n">
        <x:f>COUNTIFS('Sprint Tasks'!$D:$D,A22,'Sprint Tasks'!$L:$L,"Done")</x:f>
        <x:v>0</x:v>
      </x:c>
      <x:c r="D22" s="38" t="n">
        <x:f>IFERROR(C22/B22,0)</x:f>
        <x:v>0</x:v>
      </x:c>
      <x:c r="F22" t="str">
        <x:v>Sprint 6</x:v>
      </x:c>
      <x:c r="G22" t="n">
        <x:f>COUNTIF('Sprint Tasks'!$B:$B,F22)</x:f>
        <x:v>38</x:v>
      </x:c>
      <x:c r="H22" t="n">
        <x:f>COUNTIFS('Sprint Tasks'!$B:$B,F22,'Sprint Tasks'!$L:$L,"Done")</x:f>
        <x:v>0</x:v>
      </x:c>
      <x:c r="I22" s="38" t="n">
        <x:f>IFERROR(H22/G22,0)</x:f>
        <x:v>0</x:v>
      </x:c>
    </x:row>
    <x:row r="23">
      <x:c r="A23" t="str">
        <x:v>Sales/Marketing/Presales</x:v>
      </x:c>
      <x:c r="B23" t="n">
        <x:f>COUNTIF('Sprint Tasks'!$D:$D,A23)</x:f>
        <x:v>60</x:v>
      </x:c>
      <x:c r="C23" t="n">
        <x:f>COUNTIFS('Sprint Tasks'!$D:$D,A23,'Sprint Tasks'!$L:$L,"Done")</x:f>
        <x:v>0</x:v>
      </x:c>
      <x:c r="D23" s="38" t="n">
        <x:f>IFERROR(C23/B23,0)</x:f>
        <x:v>0</x:v>
      </x:c>
      <x:c r="F23" t="str">
        <x:v>Sprint 7</x:v>
      </x:c>
      <x:c r="G23" t="n">
        <x:f>COUNTIF('Sprint Tasks'!$B:$B,F23)</x:f>
        <x:v>35</x:v>
      </x:c>
      <x:c r="H23" t="n">
        <x:f>COUNTIFS('Sprint Tasks'!$B:$B,F23,'Sprint Tasks'!$L:$L,"Done")</x:f>
        <x:v>0</x:v>
      </x:c>
      <x:c r="I23" s="38" t="n">
        <x:f>IFERROR(H23/G23,0)</x:f>
        <x:v>0</x:v>
      </x:c>
    </x:row>
    <x:row r="24">
      <x:c r="F24" t="str">
        <x:v>Sprint 8</x:v>
      </x:c>
      <x:c r="G24" t="n">
        <x:f>COUNTIF('Sprint Tasks'!$B:$B,F24)</x:f>
        <x:v>40</x:v>
      </x:c>
      <x:c r="H24" t="n">
        <x:f>COUNTIFS('Sprint Tasks'!$B:$B,F24,'Sprint Tasks'!$L:$L,"Done")</x:f>
        <x:v>0</x:v>
      </x:c>
      <x:c r="I24" s="38" t="n">
        <x:f>IFERROR(H24/G24,0)</x:f>
        <x:v>0</x:v>
      </x:c>
    </x:row>
    <x:row r="25">
      <x:c r="F25" t="str">
        <x:v>Sprint 9</x:v>
      </x:c>
      <x:c r="G25" t="n">
        <x:f>COUNTIF('Sprint Tasks'!$B:$B,F25)</x:f>
        <x:v>38</x:v>
      </x:c>
      <x:c r="H25" t="n">
        <x:f>COUNTIFS('Sprint Tasks'!$B:$B,F25,'Sprint Tasks'!$L:$L,"Done")</x:f>
        <x:v>0</x:v>
      </x:c>
      <x:c r="I25" s="38" t="n">
        <x:f>IFERROR(H25/G25,0)</x:f>
        <x:v>0</x:v>
      </x:c>
    </x:row>
    <x:row r="26">
      <x:c r="F26" t="str">
        <x:v>Sprint 10</x:v>
      </x:c>
      <x:c r="G26" t="n">
        <x:f>COUNTIF('Sprint Tasks'!$B:$B,F26)</x:f>
        <x:v>39</x:v>
      </x:c>
      <x:c r="H26" t="n">
        <x:f>COUNTIFS('Sprint Tasks'!$B:$B,F26,'Sprint Tasks'!$L:$L,"Done")</x:f>
        <x:v>0</x:v>
      </x:c>
      <x:c r="I26" s="38" t="n">
        <x:f>IFERROR(H26/G26,0)</x:f>
        <x:v>0</x:v>
      </x:c>
    </x:row>
    <x:row r="27">
      <x:c r="A27" s="23" t="str">
        <x:v>Average KPI Score by Role</x:v>
      </x:c>
      <x:c r="F27" t="str">
        <x:v>Sprint 11</x:v>
      </x:c>
      <x:c r="G27" t="n">
        <x:f>COUNTIF('Sprint Tasks'!$B:$B,F27)</x:f>
        <x:v>40</x:v>
      </x:c>
      <x:c r="H27" t="n">
        <x:f>COUNTIFS('Sprint Tasks'!$B:$B,F27,'Sprint Tasks'!$L:$L,"Done")</x:f>
        <x:v>0</x:v>
      </x:c>
      <x:c r="I27" s="38" t="n">
        <x:f>IFERROR(H27/G27,0)</x:f>
        <x:v>0</x:v>
      </x:c>
    </x:row>
    <x:row r="28">
      <x:c r="A28" s="6" t="str">
        <x:v>Role</x:v>
      </x:c>
      <x:c r="B28" s="6" t="str">
        <x:v>Avg Score</x:v>
      </x:c>
      <x:c r="C28" s="6" t="str">
        <x:v>Green KPI</x:v>
      </x:c>
      <x:c r="D28" s="6" t="str">
        <x:v>Red KPI</x:v>
      </x:c>
    </x:row>
    <x:row r="29">
      <x:c r="A29" t="str">
        <x:v>Product Owner</x:v>
      </x:c>
      <x:c r="B29" s="46" t="n">
        <x:f>IFERROR(AVERAGEIF('Role KPI'!$A$3:$A$42,A29,'Role KPI'!$J$3:$J$42),0)</x:f>
        <x:v>0</x:v>
      </x:c>
      <x:c r="C29" t="n">
        <x:f>COUNTIFS('Role KPI'!$A$3:$A$42,A29,'Role KPI'!$K$3:$K$42,"Green")</x:f>
        <x:v>0</x:v>
      </x:c>
      <x:c r="D29" t="n">
        <x:f>COUNTIFS('Role KPI'!$A$3:$A$42,A29,'Role KPI'!$K$3:$K$42,"Red")</x:f>
        <x:v>0</x:v>
      </x:c>
    </x:row>
    <x:row r="30">
      <x:c r="A30" t="str">
        <x:v>Solution Architect</x:v>
      </x:c>
      <x:c r="B30" s="46" t="n">
        <x:f>IFERROR(AVERAGEIF('Role KPI'!$A$3:$A$42,A30,'Role KPI'!$J$3:$J$42),0)</x:f>
        <x:v>0</x:v>
      </x:c>
      <x:c r="C30" t="n">
        <x:f>COUNTIFS('Role KPI'!$A$3:$A$42,A30,'Role KPI'!$K$3:$K$42,"Green")</x:f>
        <x:v>0</x:v>
      </x:c>
      <x:c r="D30" t="n">
        <x:f>COUNTIFS('Role KPI'!$A$3:$A$42,A30,'Role KPI'!$K$3:$K$42,"Red")</x:f>
        <x:v>0</x:v>
      </x:c>
      <x:c r="F30" s="23" t="str">
        <x:v>RAG Escalation Rules</x:v>
      </x:c>
    </x:row>
    <x:row r="31">
      <x:c r="A31" t="str">
        <x:v>Infra/OpenNebula Engineer</x:v>
      </x:c>
      <x:c r="B31" s="46" t="n">
        <x:f>IFERROR(AVERAGEIF('Role KPI'!$A$3:$A$42,A31,'Role KPI'!$J$3:$J$42),0)</x:f>
        <x:v>0</x:v>
      </x:c>
      <x:c r="C31" t="n">
        <x:f>COUNTIFS('Role KPI'!$A$3:$A$42,A31,'Role KPI'!$K$3:$K$42,"Green")</x:f>
        <x:v>0</x:v>
      </x:c>
      <x:c r="D31" t="n">
        <x:f>COUNTIFS('Role KPI'!$A$3:$A$42,A31,'Role KPI'!$K$3:$K$42,"Red")</x:f>
        <x:v>0</x:v>
      </x:c>
      <x:c r="F31" s="6" t="str">
        <x:v>Green</x:v>
      </x:c>
      <x:c r="G31" s="6" t="str">
        <x:v>Task on track, no major blocker, sprint target &gt;85%</x:v>
      </x:c>
      <x:c r="H31" s="6" t="str">
        <x:v>Continue</x:v>
      </x:c>
    </x:row>
    <x:row r="32">
      <x:c r="A32" t="str">
        <x:v>Backend Engineer</x:v>
      </x:c>
      <x:c r="B32" s="46" t="n">
        <x:f>IFERROR(AVERAGEIF('Role KPI'!$A$3:$A$42,A32,'Role KPI'!$J$3:$J$42),0)</x:f>
        <x:v>0</x:v>
      </x:c>
      <x:c r="C32" t="n">
        <x:f>COUNTIFS('Role KPI'!$A$3:$A$42,A32,'Role KPI'!$K$3:$K$42,"Green")</x:f>
        <x:v>0</x:v>
      </x:c>
      <x:c r="D32" t="n">
        <x:f>COUNTIFS('Role KPI'!$A$3:$A$42,A32,'Role KPI'!$K$3:$K$42,"Red")</x:f>
        <x:v>0</x:v>
      </x:c>
      <x:c r="F32" t="str">
        <x:v>Yellow</x:v>
      </x:c>
      <x:c r="G32" t="str">
        <x:v>Delay ringan, target 60–84%, blocker manageable</x:v>
      </x:c>
      <x:c r="H32" t="str">
        <x:v>Recovery plan</x:v>
      </x:c>
    </x:row>
    <x:row r="33">
      <x:c r="A33" t="str">
        <x:v>Frontend Engineer</x:v>
      </x:c>
      <x:c r="B33" s="46" t="n">
        <x:f>IFERROR(AVERAGEIF('Role KPI'!$A$3:$A$42,A33,'Role KPI'!$J$3:$J$42),0)</x:f>
        <x:v>0</x:v>
      </x:c>
      <x:c r="C33" t="n">
        <x:f>COUNTIFS('Role KPI'!$A$3:$A$42,A33,'Role KPI'!$K$3:$K$42,"Green")</x:f>
        <x:v>0</x:v>
      </x:c>
      <x:c r="D33" t="n">
        <x:f>COUNTIFS('Role KPI'!$A$3:$A$42,A33,'Role KPI'!$K$3:$K$42,"Red")</x:f>
        <x:v>0</x:v>
      </x:c>
      <x:c r="F33" t="str">
        <x:v>Red</x:v>
      </x:c>
      <x:c r="G33" t="str">
        <x:v>Delay besar, target &lt;60%, critical blocker</x:v>
      </x:c>
      <x:c r="H33" t="str">
        <x:v>Daily check-in / reprioritize</x:v>
      </x:c>
    </x:row>
    <x:row r="34">
      <x:c r="A34" t="str">
        <x:v>QA/Tester</x:v>
      </x:c>
      <x:c r="B34" s="46" t="n">
        <x:f>IFERROR(AVERAGEIF('Role KPI'!$A$3:$A$42,A34,'Role KPI'!$J$3:$J$42),0)</x:f>
        <x:v>0</x:v>
      </x:c>
      <x:c r="C34" t="n">
        <x:f>COUNTIFS('Role KPI'!$A$3:$A$42,A34,'Role KPI'!$K$3:$K$42,"Green")</x:f>
        <x:v>0</x:v>
      </x:c>
      <x:c r="D34" t="n">
        <x:f>COUNTIFS('Role KPI'!$A$3:$A$42,A34,'Role KPI'!$K$3:$K$42,"Red")</x:f>
        <x:v>0</x:v>
      </x:c>
      <x:c r="F34" t="str">
        <x:v>Black</x:v>
      </x:c>
      <x:c r="G34" t="str">
        <x:v>Scope gagal / perlu keputusan manajemen</x:v>
      </x:c>
      <x:c r="H34" t="str">
        <x:v>Steering decision</x:v>
      </x:c>
    </x:row>
    <x:row r="35">
      <x:c r="A35" t="str">
        <x:v>Technical Writer</x:v>
      </x:c>
      <x:c r="B35" s="46" t="n">
        <x:f>IFERROR(AVERAGEIF('Role KPI'!$A$3:$A$42,A35,'Role KPI'!$J$3:$J$42),0)</x:f>
        <x:v>0</x:v>
      </x:c>
      <x:c r="C35" t="n">
        <x:f>COUNTIFS('Role KPI'!$A$3:$A$42,A35,'Role KPI'!$K$3:$K$42,"Green")</x:f>
        <x:v>0</x:v>
      </x:c>
      <x:c r="D35" t="n">
        <x:f>COUNTIFS('Role KPI'!$A$3:$A$42,A35,'Role KPI'!$K$3:$K$42,"Red")</x:f>
        <x:v>0</x:v>
      </x:c>
    </x:row>
    <x:row r="36">
      <x:c r="A36" t="str">
        <x:v>Sales/Marketing/Presales</x:v>
      </x:c>
      <x:c r="B36" s="46" t="n">
        <x:f>IFERROR(AVERAGEIF('Role KPI'!$A$3:$A$42,A36,'Role KPI'!$J$3:$J$42),0)</x:f>
        <x:v>0</x:v>
      </x:c>
      <x:c r="C36" t="n">
        <x:f>COUNTIFS('Role KPI'!$A$3:$A$42,A36,'Role KPI'!$K$3:$K$42,"Green")</x:f>
        <x:v>0</x:v>
      </x:c>
      <x:c r="D36" t="n">
        <x:f>COUNTIFS('Role KPI'!$A$3:$A$42,A36,'Role KPI'!$K$3:$K$42,"Red")</x:f>
        <x:v>0</x:v>
      </x:c>
    </x:row>
  </x:sheetData>
  <x:mergeCells>
    <x:mergeCell ref="A1:L1"/>
    <x:mergeCell ref="A3:D3"/>
    <x:mergeCell ref="E3:H3"/>
    <x:mergeCell ref="A14:D14"/>
    <x:mergeCell ref="F14:I14"/>
    <x:mergeCell ref="A27:D27"/>
    <x:mergeCell ref="F30:L30"/>
    <x:mergeCell ref="J3:L11"/>
  </x:mergeCells>
  <x:pageMargins left="0.7" right="0.7" top="0.75" bottom="0.75" header="0.3" footer="0.3"/>
  <x:drawing xmlns:r="http://schemas.openxmlformats.org/officeDocument/2006/relationships" r:id="Ra886c27eceb146db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4" hidden="0" customWidth="1"/>
    <x:col min="5" max="5" width="14" hidden="0" customWidth="1"/>
    <x:col min="6" max="6" width="44" hidden="0" customWidth="1"/>
    <x:col min="7" max="7" width="42" hidden="0" customWidth="1"/>
    <x:col min="8" max="8" width="42" hidden="0" customWidth="1"/>
    <x:col min="9" max="9" width="14" hidden="0" customWidth="1"/>
    <x:col min="10" max="10" width="12" hidden="0" customWidth="1"/>
    <x:col min="11" max="11" width="30" hidden="0" customWidth="1"/>
  </x:cols>
  <x:sheetData>
    <x:row r="1" ht="28" customHeight="1">
      <x:c r="A1" s="40" t="str">
        <x:v>Saft VE POC Sprint Plan — 6 Months / 12 Sprints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28" customHeight="1">
      <x:c r="A2" s="32" t="str">
        <x:v>Project Start Date</x:v>
      </x:c>
      <x:c r="B2" s="36" t="n">
        <x:v>46204</x:v>
      </x:c>
    </x:row>
    <x:row r="3">
      <x:c r="A3" s="32" t="str">
        <x:v>Sprint Duration Days</x:v>
      </x:c>
      <x:c r="B3" t="n">
        <x:v>14</x:v>
      </x:c>
    </x:row>
    <x:row r="4">
      <x:c r="A4" s="32" t="str">
        <x:v>Target Completion Rate</x:v>
      </x:c>
      <x:c r="B4" s="38" t="n">
        <x:v>0.85</x:v>
      </x:c>
    </x:row>
    <x:row r="5">
      <x:c r="A5" s="32" t="str">
        <x:v>Target UAT Pass Rate</x:v>
      </x:c>
      <x:c r="B5" s="38" t="n">
        <x:v>0.85</x:v>
      </x:c>
    </x:row>
    <x:row r="6">
      <x:c r="A6" s="32" t="str">
        <x:v>Target VM Lifecycle Success</x:v>
      </x:c>
      <x:c r="B6" s="38" t="n">
        <x:v>0.95</x:v>
      </x:c>
    </x:row>
    <x:row r="8">
      <x:c r="A8" s="6" t="str">
        <x:v>Sprint</x:v>
      </x:c>
      <x:c r="B8" s="6" t="str">
        <x:v>Month</x:v>
      </x:c>
      <x:c r="C8" s="6" t="str">
        <x:v>Focus</x:v>
      </x:c>
      <x:c r="D8" s="6" t="str">
        <x:v>Start Date</x:v>
      </x:c>
      <x:c r="E8" s="6" t="str">
        <x:v>End Date</x:v>
      </x:c>
      <x:c r="F8" s="6" t="str">
        <x:v>Milestone</x:v>
      </x:c>
      <x:c r="G8" s="6" t="str">
        <x:v>Engineering Gate</x:v>
      </x:c>
      <x:c r="H8" s="6" t="str">
        <x:v>Sales/Marketing Gate</x:v>
      </x:c>
      <x:c r="I8" s="6" t="str">
        <x:v>Completion %</x:v>
      </x:c>
      <x:c r="J8" s="6" t="str">
        <x:v>RAG</x:v>
      </x:c>
      <x:c r="K8" s="6" t="str">
        <x:v>Notes</x:v>
      </x:c>
    </x:row>
    <x:row r="9">
      <x:c r="A9" t="str">
        <x:v>Sprint 0</x:v>
      </x:c>
      <x:c r="B9" t="str">
        <x:v>Month 1</x:v>
      </x:c>
      <x:c r="C9" t="str">
        <x:v>Project initiation &amp; POC planning</x:v>
      </x:c>
      <x:c r="D9" s="36" t="n">
        <x:f>$B$2</x:f>
        <x:v>46204</x:v>
      </x:c>
      <x:c r="E9" s="36" t="n">
        <x:f>D9+$B$3-1</x:f>
        <x:v>46217</x:v>
      </x:c>
      <x:c r="F9" t="str">
        <x:v>Kickoff, repo, lab plan, backlog</x:v>
      </x:c>
      <x:c r="G9" t="str">
        <x:v>Scope, repo, lab plan ready</x:v>
      </x:c>
      <x:c r="H9" t="str">
        <x:v>ICP and market problem statement ready</x:v>
      </x:c>
      <x:c r="I9" s="38" t="n">
        <x:f>IFERROR(COUNTIFS('Sprint Tasks'!$B:$B,A9,'Sprint Tasks'!$M:$M,"Done")/COUNTIF('Sprint Tasks'!$B:$B,A9),0)</x:f>
        <x:v>0</x:v>
      </x:c>
      <x:c r="J9" t="str">
        <x:f>IF(I9&gt;=0.85,"Green",IF(I9&gt;=0.60,"Yellow","Red"))</x:f>
        <x:v>Red</x:v>
      </x:c>
      <x:c r="K9" t="str"/>
    </x:row>
    <x:row r="10">
      <x:c r="A10" t="str">
        <x:v>Sprint 1</x:v>
      </x:c>
      <x:c r="B10" t="str">
        <x:v>Month 1</x:v>
      </x:c>
      <x:c r="C10" t="str">
        <x:v>OpenNebula CE foundation</x:v>
      </x:c>
      <x:c r="D10" s="36" t="n">
        <x:f>E9+1</x:f>
        <x:v>46218</x:v>
      </x:c>
      <x:c r="E10" s="36" t="n">
        <x:f>D10+$B$3-1</x:f>
        <x:v>46231</x:v>
      </x:c>
      <x:c r="F10" t="str">
        <x:v>OpenNebula running, 2 KVM hosts registered</x:v>
      </x:c>
      <x:c r="G10" t="str">
        <x:v>Manual VM lifecycle verified</x:v>
      </x:c>
      <x:c r="H10" t="str">
        <x:v>Battle card and pilot criteria draft</x:v>
      </x:c>
      <x:c r="I10" s="38" t="n">
        <x:f>IFERROR(COUNTIFS('Sprint Tasks'!$B:$B,A10,'Sprint Tasks'!$M:$M,"Done")/COUNTIF('Sprint Tasks'!$B:$B,A10),0)</x:f>
        <x:v>0</x:v>
      </x:c>
      <x:c r="J10" t="str">
        <x:f>IF(I10&gt;=0.85,"Green",IF(I10&gt;=0.60,"Yellow","Red"))</x:f>
        <x:v>Red</x:v>
      </x:c>
      <x:c r="K10" t="str"/>
    </x:row>
    <x:row r="11">
      <x:c r="A11" t="str">
        <x:v>Sprint 2</x:v>
      </x:c>
      <x:c r="B11" t="str">
        <x:v>Month 2</x:v>
      </x:c>
      <x:c r="C11" t="str">
        <x:v>Saft API Adapter v1</x:v>
      </x:c>
      <x:c r="D11" s="36" t="n">
        <x:f>E10+1</x:f>
        <x:v>46232</x:v>
      </x:c>
      <x:c r="E11" s="36" t="n">
        <x:f>D11+$B$3-1</x:f>
        <x:v>46245</x:v>
      </x:c>
      <x:c r="F11" t="str">
        <x:v>Saft API reads OpenNebula hosts and VMs</x:v>
      </x:c>
      <x:c r="G11" t="str">
        <x:v>Adapter and API docs v1 ready</x:v>
      </x:c>
      <x:c r="H11" t="str">
        <x:v>Product sheet and discovery script ready</x:v>
      </x:c>
      <x:c r="I11" s="38" t="n">
        <x:f>IFERROR(COUNTIFS('Sprint Tasks'!$B:$B,A11,'Sprint Tasks'!$M:$M,"Done")/COUNTIF('Sprint Tasks'!$B:$B,A11),0)</x:f>
        <x:v>0</x:v>
      </x:c>
      <x:c r="J11" t="str">
        <x:f>IF(I11&gt;=0.85,"Green",IF(I11&gt;=0.60,"Yellow","Red"))</x:f>
        <x:v>Red</x:v>
      </x:c>
      <x:c r="K11" t="str"/>
    </x:row>
    <x:row r="12">
      <x:c r="A12" t="str">
        <x:v>Sprint 3</x:v>
      </x:c>
      <x:c r="B12" t="str">
        <x:v>Month 2</x:v>
      </x:c>
      <x:c r="C12" t="str">
        <x:v>VM lifecycle integration</x:v>
      </x:c>
      <x:c r="D12" s="36" t="n">
        <x:f>E11+1</x:f>
        <x:v>46246</x:v>
      </x:c>
      <x:c r="E12" s="36" t="n">
        <x:f>D12+$B$3-1</x:f>
        <x:v>46259</x:v>
      </x:c>
      <x:c r="F12" t="str">
        <x:v>Create/start/stop/reboot/delete VM via Saft API</x:v>
      </x:c>
      <x:c r="G12" t="str">
        <x:v>VM lifecycle API ready</x:v>
      </x:c>
      <x:c r="H12" t="str">
        <x:v>Demo script and Proxmox objection sheet ready</x:v>
      </x:c>
      <x:c r="I12" s="38" t="n">
        <x:f>IFERROR(COUNTIFS('Sprint Tasks'!$B:$B,A12,'Sprint Tasks'!$M:$M,"Done")/COUNTIF('Sprint Tasks'!$B:$B,A12),0)</x:f>
        <x:v>0</x:v>
      </x:c>
      <x:c r="J12" t="str">
        <x:f>IF(I12&gt;=0.85,"Green",IF(I12&gt;=0.60,"Yellow","Red"))</x:f>
        <x:v>Red</x:v>
      </x:c>
      <x:c r="K12" t="str"/>
    </x:row>
    <x:row r="13">
      <x:c r="A13" t="str">
        <x:v>Sprint 4</x:v>
      </x:c>
      <x:c r="B13" t="str">
        <x:v>Month 3</x:v>
      </x:c>
      <x:c r="C13" t="str">
        <x:v>Saft Portal MVP</x:v>
      </x:c>
      <x:c r="D13" s="36" t="n">
        <x:f>E12+1</x:f>
        <x:v>46260</x:v>
      </x:c>
      <x:c r="E13" s="36" t="n">
        <x:f>D13+$B$3-1</x:f>
        <x:v>46273</x:v>
      </x:c>
      <x:c r="F13" t="str">
        <x:v>Portal demo-ready for host/VM management</x:v>
      </x:c>
      <x:c r="G13" t="str">
        <x:v>UI MVP demo without terminal</x:v>
      </x:c>
      <x:c r="H13" t="str">
        <x:v>Sales deck v1 and screenshot pack ready</x:v>
      </x:c>
      <x:c r="I13" s="38" t="n">
        <x:f>IFERROR(COUNTIFS('Sprint Tasks'!$B:$B,A13,'Sprint Tasks'!$M:$M,"Done")/COUNTIF('Sprint Tasks'!$B:$B,A13),0)</x:f>
        <x:v>0</x:v>
      </x:c>
      <x:c r="J13" t="str">
        <x:f>IF(I13&gt;=0.85,"Green",IF(I13&gt;=0.60,"Yellow","Red"))</x:f>
        <x:v>Red</x:v>
      </x:c>
      <x:c r="K13" t="str"/>
    </x:row>
    <x:row r="14">
      <x:c r="A14" t="str">
        <x:v>Sprint 5</x:v>
      </x:c>
      <x:c r="B14" t="str">
        <x:v>Month 3</x:v>
      </x:c>
      <x:c r="C14" t="str">
        <x:v>Monitoring &amp; health dashboard</x:v>
      </x:c>
      <x:c r="D14" s="36" t="n">
        <x:f>E13+1</x:f>
        <x:v>46274</x:v>
      </x:c>
      <x:c r="E14" s="36" t="n">
        <x:f>D14+$B$3-1</x:f>
        <x:v>46287</x:v>
      </x:c>
      <x:c r="F14" t="str">
        <x:v>Health score, utilization, alert panel</x:v>
      </x:c>
      <x:c r="G14" t="str">
        <x:v>Monitoring dashboards ready</x:v>
      </x:c>
      <x:c r="H14" t="str">
        <x:v>Health report and assessment offer ready</x:v>
      </x:c>
      <x:c r="I14" s="38" t="n">
        <x:f>IFERROR(COUNTIFS('Sprint Tasks'!$B:$B,A14,'Sprint Tasks'!$M:$M,"Done")/COUNTIF('Sprint Tasks'!$B:$B,A14),0)</x:f>
        <x:v>0</x:v>
      </x:c>
      <x:c r="J14" t="str">
        <x:f>IF(I14&gt;=0.85,"Green",IF(I14&gt;=0.60,"Yellow","Red"))</x:f>
        <x:v>Red</x:v>
      </x:c>
      <x:c r="K14" t="str"/>
    </x:row>
    <x:row r="15">
      <x:c r="A15" t="str">
        <x:v>Sprint 6</x:v>
      </x:c>
      <x:c r="B15" t="str">
        <x:v>Month 4</x:v>
      </x:c>
      <x:c r="C15" t="str">
        <x:v>Backup Governance v1</x:v>
      </x:c>
      <x:c r="D15" s="36" t="n">
        <x:f>E14+1</x:f>
        <x:v>46288</x:v>
      </x:c>
      <x:c r="E15" s="36" t="n">
        <x:f>D15+$B$3-1</x:f>
        <x:v>46301</x:v>
      </x:c>
      <x:c r="F15" t="str">
        <x:v>Backup policy, backup job, compliance score</x:v>
      </x:c>
      <x:c r="G15" t="str">
        <x:v>Backup governance demo ready</x:v>
      </x:c>
      <x:c r="H15" t="str">
        <x:v>Backup audit campaign ready</x:v>
      </x:c>
      <x:c r="I15" s="38" t="n">
        <x:f>IFERROR(COUNTIFS('Sprint Tasks'!$B:$B,A15,'Sprint Tasks'!$M:$M,"Done")/COUNTIF('Sprint Tasks'!$B:$B,A15),0)</x:f>
        <x:v>0</x:v>
      </x:c>
      <x:c r="J15" t="str">
        <x:f>IF(I15&gt;=0.85,"Green",IF(I15&gt;=0.60,"Yellow","Red"))</x:f>
        <x:v>Red</x:v>
      </x:c>
      <x:c r="K15" t="str"/>
    </x:row>
    <x:row r="16">
      <x:c r="A16" t="str">
        <x:v>Sprint 7</x:v>
      </x:c>
      <x:c r="B16" t="str">
        <x:v>Month 4</x:v>
      </x:c>
      <x:c r="C16" t="str">
        <x:v>Reporting &amp; audit</x:v>
      </x:c>
      <x:c r="D16" s="36" t="n">
        <x:f>E15+1</x:f>
        <x:v>46302</x:v>
      </x:c>
      <x:c r="E16" s="36" t="n">
        <x:f>D16+$B$3-1</x:f>
        <x:v>46315</x:v>
      </x:c>
      <x:c r="F16" t="str">
        <x:v>PDF/Excel reports, audit log, usage report</x:v>
      </x:c>
      <x:c r="G16" t="str">
        <x:v>Reporting export ready</x:v>
      </x:c>
      <x:c r="H16" t="str">
        <x:v>Procurement and ROI narrative ready</x:v>
      </x:c>
      <x:c r="I16" s="38" t="n">
        <x:f>IFERROR(COUNTIFS('Sprint Tasks'!$B:$B,A16,'Sprint Tasks'!$M:$M,"Done")/COUNTIF('Sprint Tasks'!$B:$B,A16),0)</x:f>
        <x:v>0</x:v>
      </x:c>
      <x:c r="J16" t="str">
        <x:f>IF(I16&gt;=0.85,"Green",IF(I16&gt;=0.60,"Yellow","Red"))</x:f>
        <x:v>Red</x:v>
      </x:c>
      <x:c r="K16" t="str"/>
    </x:row>
    <x:row r="17">
      <x:c r="A17" t="str">
        <x:v>Sprint 8</x:v>
      </x:c>
      <x:c r="B17" t="str">
        <x:v>Month 5</x:v>
      </x:c>
      <x:c r="C17" t="str">
        <x:v>Migration Workbench v1</x:v>
      </x:c>
      <x:c r="D17" s="36" t="n">
        <x:f>E16+1</x:f>
        <x:v>46316</x:v>
      </x:c>
      <x:c r="E17" s="36" t="n">
        <x:f>D17+$B$3-1</x:f>
        <x:v>46329</x:v>
      </x:c>
      <x:c r="F17" t="str">
        <x:v>Migration project, mapping, checklist, report</x:v>
      </x:c>
      <x:c r="G17" t="str">
        <x:v>Migration workflow demo ready</x:v>
      </x:c>
      <x:c r="H17" t="str">
        <x:v>VMware Exit / Proxmox Rescue campaign ready</x:v>
      </x:c>
      <x:c r="I17" s="38" t="n">
        <x:f>IFERROR(COUNTIFS('Sprint Tasks'!$B:$B,A17,'Sprint Tasks'!$M:$M,"Done")/COUNTIF('Sprint Tasks'!$B:$B,A17),0)</x:f>
        <x:v>0</x:v>
      </x:c>
      <x:c r="J17" t="str">
        <x:f>IF(I17&gt;=0.85,"Green",IF(I17&gt;=0.60,"Yellow","Red"))</x:f>
        <x:v>Red</x:v>
      </x:c>
      <x:c r="K17" t="str"/>
    </x:row>
    <x:row r="18">
      <x:c r="A18" t="str">
        <x:v>Sprint 9</x:v>
      </x:c>
      <x:c r="B18" t="str">
        <x:v>Month 5</x:v>
      </x:c>
      <x:c r="C18" t="str">
        <x:v>Cloud Lite v1</x:v>
      </x:c>
      <x:c r="D18" s="36" t="n">
        <x:f>E17+1</x:f>
        <x:v>46330</x:v>
      </x:c>
      <x:c r="E18" s="36" t="n">
        <x:f>D18+$B$3-1</x:f>
        <x:v>46343</x:v>
      </x:c>
      <x:c r="F18" t="str">
        <x:v>Tenant, quota, request and approval</x:v>
      </x:c>
      <x:c r="G18" t="str">
        <x:v>Cloud Lite demo ready</x:v>
      </x:c>
      <x:c r="H18" t="str">
        <x:v>Awanio comparison and MSP target list ready</x:v>
      </x:c>
      <x:c r="I18" s="38" t="n">
        <x:f>IFERROR(COUNTIFS('Sprint Tasks'!$B:$B,A18,'Sprint Tasks'!$M:$M,"Done")/COUNTIF('Sprint Tasks'!$B:$B,A18),0)</x:f>
        <x:v>0</x:v>
      </x:c>
      <x:c r="J18" t="str">
        <x:f>IF(I18&gt;=0.85,"Green",IF(I18&gt;=0.60,"Yellow","Red"))</x:f>
        <x:v>Red</x:v>
      </x:c>
      <x:c r="K18" t="str"/>
    </x:row>
    <x:row r="19">
      <x:c r="A19" t="str">
        <x:v>Sprint 10</x:v>
      </x:c>
      <x:c r="B19" t="str">
        <x:v>Month 6</x:v>
      </x:c>
      <x:c r="C19" t="str">
        <x:v>Installer &amp; packaging</x:v>
      </x:c>
      <x:c r="D19" s="36" t="n">
        <x:f>E18+1</x:f>
        <x:v>46344</x:v>
      </x:c>
      <x:c r="E19" s="36" t="n">
        <x:f>D19+$B$3-1</x:f>
        <x:v>46357</x:v>
      </x:c>
      <x:c r="F19" t="str">
        <x:v>Deployment script, POC package, proposal/RAB/SOW/SLA</x:v>
      </x:c>
      <x:c r="G19" t="str">
        <x:v>Install repeatability verified</x:v>
      </x:c>
      <x:c r="H19" t="str">
        <x:v>Commercial POC package ready</x:v>
      </x:c>
      <x:c r="I19" s="38" t="n">
        <x:f>IFERROR(COUNTIFS('Sprint Tasks'!$B:$B,A19,'Sprint Tasks'!$M:$M,"Done")/COUNTIF('Sprint Tasks'!$B:$B,A19),0)</x:f>
        <x:v>0</x:v>
      </x:c>
      <x:c r="J19" t="str">
        <x:f>IF(I19&gt;=0.85,"Green",IF(I19&gt;=0.60,"Yellow","Red"))</x:f>
        <x:v>Red</x:v>
      </x:c>
      <x:c r="K19" t="str"/>
    </x:row>
    <x:row r="20">
      <x:c r="A20" t="str">
        <x:v>Sprint 11</x:v>
      </x:c>
      <x:c r="B20" t="str">
        <x:v>Month 6</x:v>
      </x:c>
      <x:c r="C20" t="str">
        <x:v>UAT, demo, sales kit &amp; POC release</x:v>
      </x:c>
      <x:c r="D20" s="36" t="n">
        <x:f>E19+1</x:f>
        <x:v>46358</x:v>
      </x:c>
      <x:c r="E20" s="36" t="n">
        <x:f>D20+$B$3-1</x:f>
        <x:v>46371</x:v>
      </x:c>
      <x:c r="F20" t="str">
        <x:v>Full UAT and release candidate</x:v>
      </x:c>
      <x:c r="G20" t="str">
        <x:v>UAT pass &gt;=85%</x:v>
      </x:c>
      <x:c r="H20" t="str">
        <x:v>3–5 discovery meetings planned</x:v>
      </x:c>
      <x:c r="I20" s="38" t="n">
        <x:f>IFERROR(COUNTIFS('Sprint Tasks'!$B:$B,A20,'Sprint Tasks'!$M:$M,"Done")/COUNTIF('Sprint Tasks'!$B:$B,A20),0)</x:f>
        <x:v>0</x:v>
      </x:c>
      <x:c r="J20" t="str">
        <x:f>IF(I20&gt;=0.85,"Green",IF(I20&gt;=0.60,"Yellow","Red"))</x:f>
        <x:v>Red</x:v>
      </x:c>
      <x:c r="K20" t="str"/>
    </x:row>
  </x:sheetData>
  <x:mergeCells>
    <x:mergeCell ref="A1:K1"/>
  </x:mergeCells>
  <x:dataValidations count="1">
    <x:dataValidation type="list" sqref="J9:J20">
      <x:formula1>Lookups!$C$2:$C$5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26" hidden="0" customWidth="1"/>
    <x:col min="5" max="5" width="20" hidden="0" customWidth="1"/>
    <x:col min="6" max="6" width="54" hidden="0" customWidth="1"/>
    <x:col min="7" max="7" width="34" hidden="0" customWidth="1"/>
    <x:col min="8" max="8" width="11" hidden="0" customWidth="1"/>
    <x:col min="9" max="9" width="12" hidden="0" customWidth="1"/>
    <x:col min="10" max="10" width="12" hidden="0" customWidth="1"/>
    <x:col min="11" max="11" width="18" hidden="0" customWidth="1"/>
    <x:col min="12" max="12" width="14" hidden="0" customWidth="1"/>
    <x:col min="13" max="13" width="12" hidden="0" customWidth="1"/>
    <x:col min="14" max="14" width="8" hidden="0" customWidth="1"/>
    <x:col min="15" max="15" width="14" hidden="0" customWidth="1"/>
    <x:col min="16" max="16" width="14" hidden="0" customWidth="1"/>
    <x:col min="17" max="17" width="26" hidden="0" customWidth="1"/>
    <x:col min="18" max="18" width="24" hidden="0" customWidth="1"/>
    <x:col min="19" max="19" width="12" hidden="0" customWidth="1"/>
    <x:col min="20" max="20" width="10" hidden="0" customWidth="1"/>
    <x:col min="21" max="21" width="36" hidden="0" customWidth="1"/>
  </x:cols>
  <x:sheetData>
    <x:row r="1" ht="28" customHeight="1">
      <x:c r="A1" s="15" t="str">
        <x:v>Saft VE Detailed Sprint Task Tracker</x:v>
      </x:c>
    </x:row>
    <x:row r="2" ht="28" customHeight="1">
      <x:c r="A2" s="6" t="str">
        <x:v>Task ID</x:v>
      </x:c>
      <x:c r="B2" s="6" t="str">
        <x:v>Sprint</x:v>
      </x:c>
      <x:c r="C2" s="6" t="str">
        <x:v>Month</x:v>
      </x:c>
      <x:c r="D2" s="6" t="str">
        <x:v>Role</x:v>
      </x:c>
      <x:c r="E2" s="6" t="str">
        <x:v>Workstream</x:v>
      </x:c>
      <x:c r="F2" s="6" t="str">
        <x:v>Task</x:v>
      </x:c>
      <x:c r="G2" s="6" t="str">
        <x:v>Deliverable</x:v>
      </x:c>
      <x:c r="H2" s="6" t="str">
        <x:v>Priority</x:v>
      </x:c>
      <x:c r="I2" s="6" t="str">
        <x:v>Planned Start</x:v>
      </x:c>
      <x:c r="J2" s="6" t="str">
        <x:v>Planned End</x:v>
      </x:c>
      <x:c r="K2" s="6" t="str">
        <x:v>Owner</x:v>
      </x:c>
      <x:c r="L2" s="6" t="str">
        <x:v>Status</x:v>
      </x:c>
      <x:c r="M2" s="6" t="str">
        <x:v>% Complete</x:v>
      </x:c>
      <x:c r="N2" s="6" t="str">
        <x:v>Weight</x:v>
      </x:c>
      <x:c r="O2" s="6" t="str">
        <x:v>KPI Link</x:v>
      </x:c>
      <x:c r="P2" s="6" t="str">
        <x:v>OKR Link</x:v>
      </x:c>
      <x:c r="Q2" s="6" t="str">
        <x:v>Dependencies</x:v>
      </x:c>
      <x:c r="R2" s="6" t="str">
        <x:v>Evidence Link</x:v>
      </x:c>
      <x:c r="S2" s="6" t="str">
        <x:v>Risk Level</x:v>
      </x:c>
      <x:c r="T2" s="6" t="str">
        <x:v>RAG</x:v>
      </x:c>
      <x:c r="U2" s="6" t="str">
        <x:v>Notes</x:v>
      </x:c>
    </x:row>
    <x:row r="3">
      <x:c r="A3" s="28" t="str">
        <x:v>SV-00-0001</x:v>
      </x:c>
      <x:c r="B3" s="28" t="str">
        <x:v>Sprint 0</x:v>
      </x:c>
      <x:c r="C3" s="28" t="str">
        <x:v>Month 1</x:v>
      </x:c>
      <x:c r="D3" s="28" t="str">
        <x:v>Product Owner</x:v>
      </x:c>
      <x:c r="E3" s="28" t="str">
        <x:v>Scope</x:v>
      </x:c>
      <x:c r="F3" s="28" t="str">
        <x:v>Finalisasi scope POC Saft VE</x:v>
      </x:c>
      <x:c r="G3" s="28" t="str">
        <x:v>Scope baseline</x:v>
      </x:c>
      <x:c r="H3" s="28" t="str">
        <x:v>High</x:v>
      </x:c>
      <x:c r="I3" s="42" t="n">
        <x:f>INDEX('Sprint Plan'!$D$9:$D$20,MATCH(B3,'Sprint Plan'!$A$9:$A$20,0))</x:f>
        <x:v>46204</x:v>
      </x:c>
      <x:c r="J3" s="42" t="n">
        <x:f>INDEX('Sprint Plan'!$E$9:$E$20,MATCH(B3,'Sprint Plan'!$A$9:$A$20,0))</x:f>
        <x:v>46217</x:v>
      </x:c>
      <x:c r="K3" s="28" t="str">
        <x:v>TBD</x:v>
      </x:c>
      <x:c r="L3" s="28" t="str">
        <x:v>Not Started</x:v>
      </x:c>
      <x:c r="M3" s="43" t="n">
        <x:v>0</x:v>
      </x:c>
      <x:c r="N3" s="28" t="n">
        <x:v>1</x:v>
      </x:c>
      <x:c r="O3" s="28" t="str"/>
      <x:c r="P3" s="28" t="str"/>
      <x:c r="Q3" s="28" t="str"/>
      <x:c r="R3" s="28" t="str"/>
      <x:c r="S3" s="28" t="str">
        <x:v>Medium</x:v>
      </x:c>
      <x:c r="T3" s="28" t="str">
        <x:f>IF(L3="Done","Green",IF(L3="Blocked","Red",IF(TODAY()&gt;J3,"Red",IF(M3&gt;=0.6,"Yellow","Green"))))</x:f>
        <x:v>Green</x:v>
      </x:c>
      <x:c r="U3" s="28" t="str"/>
    </x:row>
    <x:row r="4">
      <x:c r="A4" s="28" t="str">
        <x:v>SV-00-0002</x:v>
      </x:c>
      <x:c r="B4" s="28" t="str">
        <x:v>Sprint 0</x:v>
      </x:c>
      <x:c r="C4" s="28" t="str">
        <x:v>Month 1</x:v>
      </x:c>
      <x:c r="D4" s="28" t="str">
        <x:v>Product Owner</x:v>
      </x:c>
      <x:c r="E4" s="28" t="str">
        <x:v>Backlog</x:v>
      </x:c>
      <x:c r="F4" s="28" t="str">
        <x:v>Membuat product backlog awal dan prioritas MVP</x:v>
      </x:c>
      <x:c r="G4" s="28" t="str">
        <x:v>Product backlog</x:v>
      </x:c>
      <x:c r="H4" s="28" t="str">
        <x:v>High</x:v>
      </x:c>
      <x:c r="I4" s="42" t="n">
        <x:f>INDEX('Sprint Plan'!$D$9:$D$20,MATCH(B4,'Sprint Plan'!$A$9:$A$20,0))</x:f>
        <x:v>46204</x:v>
      </x:c>
      <x:c r="J4" s="42" t="n">
        <x:f>INDEX('Sprint Plan'!$E$9:$E$20,MATCH(B4,'Sprint Plan'!$A$9:$A$20,0))</x:f>
        <x:v>46217</x:v>
      </x:c>
      <x:c r="K4" s="28" t="str">
        <x:v>TBD</x:v>
      </x:c>
      <x:c r="L4" s="28" t="str">
        <x:v>Not Started</x:v>
      </x:c>
      <x:c r="M4" s="43" t="n">
        <x:v>0</x:v>
      </x:c>
      <x:c r="N4" s="28" t="n">
        <x:v>1</x:v>
      </x:c>
      <x:c r="O4" s="28" t="str"/>
      <x:c r="P4" s="28" t="str"/>
      <x:c r="Q4" s="28" t="str"/>
      <x:c r="R4" s="28" t="str"/>
      <x:c r="S4" s="28" t="str">
        <x:v>Medium</x:v>
      </x:c>
      <x:c r="T4" s="28" t="str">
        <x:f>IF(L4="Done","Green",IF(L4="Blocked","Red",IF(TODAY()&gt;J4,"Red",IF(M4&gt;=0.6,"Yellow","Green"))))</x:f>
        <x:v>Green</x:v>
      </x:c>
      <x:c r="U4" s="28" t="str"/>
    </x:row>
    <x:row r="5">
      <x:c r="A5" s="28" t="str">
        <x:v>SV-00-0003</x:v>
      </x:c>
      <x:c r="B5" s="28" t="str">
        <x:v>Sprint 0</x:v>
      </x:c>
      <x:c r="C5" s="28" t="str">
        <x:v>Month 1</x:v>
      </x:c>
      <x:c r="D5" s="28" t="str">
        <x:v>Product Owner</x:v>
      </x:c>
      <x:c r="E5" s="28" t="str">
        <x:v>Acceptance</x:v>
      </x:c>
      <x:c r="F5" s="28" t="str">
        <x:v>Menentukan success criteria dan acceptance criteria POC</x:v>
      </x:c>
      <x:c r="G5" s="28" t="str">
        <x:v>POC acceptance criteria</x:v>
      </x:c>
      <x:c r="H5" s="28" t="str">
        <x:v>High</x:v>
      </x:c>
      <x:c r="I5" s="42" t="n">
        <x:f>INDEX('Sprint Plan'!$D$9:$D$20,MATCH(B5,'Sprint Plan'!$A$9:$A$20,0))</x:f>
        <x:v>46204</x:v>
      </x:c>
      <x:c r="J5" s="42" t="n">
        <x:f>INDEX('Sprint Plan'!$E$9:$E$20,MATCH(B5,'Sprint Plan'!$A$9:$A$20,0))</x:f>
        <x:v>46217</x:v>
      </x:c>
      <x:c r="K5" s="28" t="str">
        <x:v>TBD</x:v>
      </x:c>
      <x:c r="L5" s="28" t="str">
        <x:v>Not Started</x:v>
      </x:c>
      <x:c r="M5" s="43" t="n">
        <x:v>0</x:v>
      </x:c>
      <x:c r="N5" s="28" t="n">
        <x:v>1</x:v>
      </x:c>
      <x:c r="O5" s="28" t="str"/>
      <x:c r="P5" s="28" t="str"/>
      <x:c r="Q5" s="28" t="str"/>
      <x:c r="R5" s="28" t="str"/>
      <x:c r="S5" s="28" t="str">
        <x:v>Medium</x:v>
      </x:c>
      <x:c r="T5" s="28" t="str">
        <x:f>IF(L5="Done","Green",IF(L5="Blocked","Red",IF(TODAY()&gt;J5,"Red",IF(M5&gt;=0.6,"Yellow","Green"))))</x:f>
        <x:v>Green</x:v>
      </x:c>
      <x:c r="U5" s="28" t="str"/>
    </x:row>
    <x:row r="6">
      <x:c r="A6" s="28" t="str">
        <x:v>SV-00-0004</x:v>
      </x:c>
      <x:c r="B6" s="28" t="str">
        <x:v>Sprint 0</x:v>
      </x:c>
      <x:c r="C6" s="28" t="str">
        <x:v>Month 1</x:v>
      </x:c>
      <x:c r="D6" s="28" t="str">
        <x:v>Product Owner</x:v>
      </x:c>
      <x:c r="E6" s="28" t="str">
        <x:v>Pilot</x:v>
      </x:c>
      <x:c r="F6" s="28" t="str">
        <x:v>Menentukan target pilot customer awal</x:v>
      </x:c>
      <x:c r="G6" s="28" t="str">
        <x:v>Pilot shortlist</x:v>
      </x:c>
      <x:c r="H6" s="28" t="str">
        <x:v>High</x:v>
      </x:c>
      <x:c r="I6" s="42" t="n">
        <x:f>INDEX('Sprint Plan'!$D$9:$D$20,MATCH(B6,'Sprint Plan'!$A$9:$A$20,0))</x:f>
        <x:v>46204</x:v>
      </x:c>
      <x:c r="J6" s="42" t="n">
        <x:f>INDEX('Sprint Plan'!$E$9:$E$20,MATCH(B6,'Sprint Plan'!$A$9:$A$20,0))</x:f>
        <x:v>46217</x:v>
      </x:c>
      <x:c r="K6" s="28" t="str">
        <x:v>TBD</x:v>
      </x:c>
      <x:c r="L6" s="28" t="str">
        <x:v>Not Started</x:v>
      </x:c>
      <x:c r="M6" s="43" t="n">
        <x:v>0</x:v>
      </x:c>
      <x:c r="N6" s="28" t="n">
        <x:v>1</x:v>
      </x:c>
      <x:c r="O6" s="28" t="str"/>
      <x:c r="P6" s="28" t="str"/>
      <x:c r="Q6" s="28" t="str"/>
      <x:c r="R6" s="28" t="str"/>
      <x:c r="S6" s="28" t="str">
        <x:v>Medium</x:v>
      </x:c>
      <x:c r="T6" s="28" t="str">
        <x:f>IF(L6="Done","Green",IF(L6="Blocked","Red",IF(TODAY()&gt;J6,"Red",IF(M6&gt;=0.6,"Yellow","Green"))))</x:f>
        <x:v>Green</x:v>
      </x:c>
      <x:c r="U6" s="28" t="str"/>
    </x:row>
    <x:row r="7">
      <x:c r="A7" s="28" t="str">
        <x:v>SV-00-0005</x:v>
      </x:c>
      <x:c r="B7" s="28" t="str">
        <x:v>Sprint 0</x:v>
      </x:c>
      <x:c r="C7" s="28" t="str">
        <x:v>Month 1</x:v>
      </x:c>
      <x:c r="D7" s="28" t="str">
        <x:v>Product Owner</x:v>
      </x:c>
      <x:c r="E7" s="28" t="str">
        <x:v>Governance</x:v>
      </x:c>
      <x:c r="F7" s="28" t="str">
        <x:v>Menentukan batasan scope dan change control</x:v>
      </x:c>
      <x:c r="G7" s="28" t="str">
        <x:v>Out-of-scope list</x:v>
      </x:c>
      <x:c r="H7" s="28" t="str">
        <x:v>High</x:v>
      </x:c>
      <x:c r="I7" s="42" t="n">
        <x:f>INDEX('Sprint Plan'!$D$9:$D$20,MATCH(B7,'Sprint Plan'!$A$9:$A$20,0))</x:f>
        <x:v>46204</x:v>
      </x:c>
      <x:c r="J7" s="42" t="n">
        <x:f>INDEX('Sprint Plan'!$E$9:$E$20,MATCH(B7,'Sprint Plan'!$A$9:$A$20,0))</x:f>
        <x:v>46217</x:v>
      </x:c>
      <x:c r="K7" s="28" t="str">
        <x:v>TBD</x:v>
      </x:c>
      <x:c r="L7" s="28" t="str">
        <x:v>Not Started</x:v>
      </x:c>
      <x:c r="M7" s="43" t="n">
        <x:v>0</x:v>
      </x:c>
      <x:c r="N7" s="28" t="n">
        <x:v>1</x:v>
      </x:c>
      <x:c r="O7" s="28" t="str"/>
      <x:c r="P7" s="28" t="str"/>
      <x:c r="Q7" s="28" t="str"/>
      <x:c r="R7" s="28" t="str"/>
      <x:c r="S7" s="28" t="str">
        <x:v>Medium</x:v>
      </x:c>
      <x:c r="T7" s="28" t="str">
        <x:f>IF(L7="Done","Green",IF(L7="Blocked","Red",IF(TODAY()&gt;J7,"Red",IF(M7&gt;=0.6,"Yellow","Green"))))</x:f>
        <x:v>Green</x:v>
      </x:c>
      <x:c r="U7" s="28" t="str"/>
    </x:row>
    <x:row r="8">
      <x:c r="A8" s="28" t="str">
        <x:v>SV-00-0006</x:v>
      </x:c>
      <x:c r="B8" s="28" t="str">
        <x:v>Sprint 0</x:v>
      </x:c>
      <x:c r="C8" s="28" t="str">
        <x:v>Month 1</x:v>
      </x:c>
      <x:c r="D8" s="28" t="str">
        <x:v>Solution Architect</x:v>
      </x:c>
      <x:c r="E8" s="28" t="str">
        <x:v>Architecture</x:v>
      </x:c>
      <x:c r="F8" s="28" t="str">
        <x:v>Review BRD/TSD dan buat architecture baseline</x:v>
      </x:c>
      <x:c r="G8" s="28" t="str">
        <x:v>Architecture baseline</x:v>
      </x:c>
      <x:c r="H8" s="28" t="str">
        <x:v>High</x:v>
      </x:c>
      <x:c r="I8" s="42" t="n">
        <x:f>INDEX('Sprint Plan'!$D$9:$D$20,MATCH(B8,'Sprint Plan'!$A$9:$A$20,0))</x:f>
        <x:v>46204</x:v>
      </x:c>
      <x:c r="J8" s="42" t="n">
        <x:f>INDEX('Sprint Plan'!$E$9:$E$20,MATCH(B8,'Sprint Plan'!$A$9:$A$20,0))</x:f>
        <x:v>46217</x:v>
      </x:c>
      <x:c r="K8" s="28" t="str">
        <x:v>TBD</x:v>
      </x:c>
      <x:c r="L8" s="28" t="str">
        <x:v>Not Started</x:v>
      </x:c>
      <x:c r="M8" s="43" t="n">
        <x:v>0</x:v>
      </x:c>
      <x:c r="N8" s="28" t="n">
        <x:v>1</x:v>
      </x:c>
      <x:c r="O8" s="28" t="str"/>
      <x:c r="P8" s="28" t="str"/>
      <x:c r="Q8" s="28" t="str"/>
      <x:c r="R8" s="28" t="str"/>
      <x:c r="S8" s="28" t="str">
        <x:v>Medium</x:v>
      </x:c>
      <x:c r="T8" s="28" t="str">
        <x:f>IF(L8="Done","Green",IF(L8="Blocked","Red",IF(TODAY()&gt;J8,"Red",IF(M8&gt;=0.6,"Yellow","Green"))))</x:f>
        <x:v>Green</x:v>
      </x:c>
      <x:c r="U8" s="28" t="str"/>
    </x:row>
    <x:row r="9">
      <x:c r="A9" s="28" t="str">
        <x:v>SV-00-0007</x:v>
      </x:c>
      <x:c r="B9" s="28" t="str">
        <x:v>Sprint 0</x:v>
      </x:c>
      <x:c r="C9" s="28" t="str">
        <x:v>Month 1</x:v>
      </x:c>
      <x:c r="D9" s="28" t="str">
        <x:v>Solution Architect</x:v>
      </x:c>
      <x:c r="E9" s="28" t="str">
        <x:v>Topology</x:v>
      </x:c>
      <x:c r="F9" s="28" t="str">
        <x:v>Membuat high-level deployment topology</x:v>
      </x:c>
      <x:c r="G9" s="28" t="str">
        <x:v>Architecture diagram</x:v>
      </x:c>
      <x:c r="H9" s="28" t="str">
        <x:v>High</x:v>
      </x:c>
      <x:c r="I9" s="42" t="n">
        <x:f>INDEX('Sprint Plan'!$D$9:$D$20,MATCH(B9,'Sprint Plan'!$A$9:$A$20,0))</x:f>
        <x:v>46204</x:v>
      </x:c>
      <x:c r="J9" s="42" t="n">
        <x:f>INDEX('Sprint Plan'!$E$9:$E$20,MATCH(B9,'Sprint Plan'!$A$9:$A$20,0))</x:f>
        <x:v>46217</x:v>
      </x:c>
      <x:c r="K9" s="28" t="str">
        <x:v>TBD</x:v>
      </x:c>
      <x:c r="L9" s="28" t="str">
        <x:v>Not Started</x:v>
      </x:c>
      <x:c r="M9" s="43" t="n">
        <x:v>0</x:v>
      </x:c>
      <x:c r="N9" s="28" t="n">
        <x:v>1</x:v>
      </x:c>
      <x:c r="O9" s="28" t="str"/>
      <x:c r="P9" s="28" t="str"/>
      <x:c r="Q9" s="28" t="str"/>
      <x:c r="R9" s="28" t="str"/>
      <x:c r="S9" s="28" t="str">
        <x:v>Medium</x:v>
      </x:c>
      <x:c r="T9" s="28" t="str">
        <x:f>IF(L9="Done","Green",IF(L9="Blocked","Red",IF(TODAY()&gt;J9,"Red",IF(M9&gt;=0.6,"Yellow","Green"))))</x:f>
        <x:v>Green</x:v>
      </x:c>
      <x:c r="U9" s="28" t="str"/>
    </x:row>
    <x:row r="10">
      <x:c r="A10" s="28" t="str">
        <x:v>SV-00-0008</x:v>
      </x:c>
      <x:c r="B10" s="28" t="str">
        <x:v>Sprint 0</x:v>
      </x:c>
      <x:c r="C10" s="28" t="str">
        <x:v>Month 1</x:v>
      </x:c>
      <x:c r="D10" s="28" t="str">
        <x:v>Solution Architect</x:v>
      </x:c>
      <x:c r="E10" s="28" t="str">
        <x:v>Lab</x:v>
      </x:c>
      <x:c r="F10" s="28" t="str">
        <x:v>Menentukan lab architecture dan network segment</x:v>
      </x:c>
      <x:c r="G10" s="28" t="str">
        <x:v>Lab topology</x:v>
      </x:c>
      <x:c r="H10" s="28" t="str">
        <x:v>High</x:v>
      </x:c>
      <x:c r="I10" s="42" t="n">
        <x:f>INDEX('Sprint Plan'!$D$9:$D$20,MATCH(B10,'Sprint Plan'!$A$9:$A$20,0))</x:f>
        <x:v>46204</x:v>
      </x:c>
      <x:c r="J10" s="42" t="n">
        <x:f>INDEX('Sprint Plan'!$E$9:$E$20,MATCH(B10,'Sprint Plan'!$A$9:$A$20,0))</x:f>
        <x:v>46217</x:v>
      </x:c>
      <x:c r="K10" s="28" t="str">
        <x:v>TBD</x:v>
      </x:c>
      <x:c r="L10" s="28" t="str">
        <x:v>Not Started</x:v>
      </x:c>
      <x:c r="M10" s="43" t="n">
        <x:v>0</x:v>
      </x:c>
      <x:c r="N10" s="28" t="n">
        <x:v>1</x:v>
      </x:c>
      <x:c r="O10" s="28" t="str"/>
      <x:c r="P10" s="28" t="str"/>
      <x:c r="Q10" s="28" t="str"/>
      <x:c r="R10" s="28" t="str"/>
      <x:c r="S10" s="28" t="str">
        <x:v>Medium</x:v>
      </x:c>
      <x:c r="T10" s="28" t="str">
        <x:f>IF(L10="Done","Green",IF(L10="Blocked","Red",IF(TODAY()&gt;J10,"Red",IF(M10&gt;=0.6,"Yellow","Green"))))</x:f>
        <x:v>Green</x:v>
      </x:c>
      <x:c r="U10" s="28" t="str"/>
    </x:row>
    <x:row r="11">
      <x:c r="A11" s="28" t="str">
        <x:v>SV-00-0009</x:v>
      </x:c>
      <x:c r="B11" s="28" t="str">
        <x:v>Sprint 0</x:v>
      </x:c>
      <x:c r="C11" s="28" t="str">
        <x:v>Month 1</x:v>
      </x:c>
      <x:c r="D11" s="28" t="str">
        <x:v>Solution Architect</x:v>
      </x:c>
      <x:c r="E11" s="28" t="str">
        <x:v>Storage</x:v>
      </x:c>
      <x:c r="F11" s="28" t="str">
        <x:v>Menentukan storage design awal</x:v>
      </x:c>
      <x:c r="G11" s="28" t="str">
        <x:v>Storage design</x:v>
      </x:c>
      <x:c r="H11" s="28" t="str">
        <x:v>High</x:v>
      </x:c>
      <x:c r="I11" s="42" t="n">
        <x:f>INDEX('Sprint Plan'!$D$9:$D$20,MATCH(B11,'Sprint Plan'!$A$9:$A$20,0))</x:f>
        <x:v>46204</x:v>
      </x:c>
      <x:c r="J11" s="42" t="n">
        <x:f>INDEX('Sprint Plan'!$E$9:$E$20,MATCH(B11,'Sprint Plan'!$A$9:$A$20,0))</x:f>
        <x:v>46217</x:v>
      </x:c>
      <x:c r="K11" s="28" t="str">
        <x:v>TBD</x:v>
      </x:c>
      <x:c r="L11" s="28" t="str">
        <x:v>Not Started</x:v>
      </x:c>
      <x:c r="M11" s="43" t="n">
        <x:v>0</x:v>
      </x:c>
      <x:c r="N11" s="28" t="n">
        <x:v>1</x:v>
      </x:c>
      <x:c r="O11" s="28" t="str"/>
      <x:c r="P11" s="28" t="str"/>
      <x:c r="Q11" s="28" t="str"/>
      <x:c r="R11" s="28" t="str"/>
      <x:c r="S11" s="28" t="str">
        <x:v>Medium</x:v>
      </x:c>
      <x:c r="T11" s="28" t="str">
        <x:f>IF(L11="Done","Green",IF(L11="Blocked","Red",IF(TODAY()&gt;J11,"Red",IF(M11&gt;=0.6,"Yellow","Green"))))</x:f>
        <x:v>Green</x:v>
      </x:c>
      <x:c r="U11" s="28" t="str"/>
    </x:row>
    <x:row r="12">
      <x:c r="A12" s="28" t="str">
        <x:v>SV-00-0010</x:v>
      </x:c>
      <x:c r="B12" s="28" t="str">
        <x:v>Sprint 0</x:v>
      </x:c>
      <x:c r="C12" s="28" t="str">
        <x:v>Month 1</x:v>
      </x:c>
      <x:c r="D12" s="28" t="str">
        <x:v>Solution Architect</x:v>
      </x:c>
      <x:c r="E12" s="28" t="str">
        <x:v>Adapter</x:v>
      </x:c>
      <x:c r="F12" s="28" t="str">
        <x:v>Membuat draft integration pattern Saft API ke OpenNebula</x:v>
      </x:c>
      <x:c r="G12" s="28" t="str">
        <x:v>Adapter design draft</x:v>
      </x:c>
      <x:c r="H12" s="28" t="str">
        <x:v>High</x:v>
      </x:c>
      <x:c r="I12" s="42" t="n">
        <x:f>INDEX('Sprint Plan'!$D$9:$D$20,MATCH(B12,'Sprint Plan'!$A$9:$A$20,0))</x:f>
        <x:v>46204</x:v>
      </x:c>
      <x:c r="J12" s="42" t="n">
        <x:f>INDEX('Sprint Plan'!$E$9:$E$20,MATCH(B12,'Sprint Plan'!$A$9:$A$20,0))</x:f>
        <x:v>46217</x:v>
      </x:c>
      <x:c r="K12" s="28" t="str">
        <x:v>TBD</x:v>
      </x:c>
      <x:c r="L12" s="28" t="str">
        <x:v>Not Started</x:v>
      </x:c>
      <x:c r="M12" s="43" t="n">
        <x:v>0</x:v>
      </x:c>
      <x:c r="N12" s="28" t="n">
        <x:v>1</x:v>
      </x:c>
      <x:c r="O12" s="28" t="str"/>
      <x:c r="P12" s="28" t="str"/>
      <x:c r="Q12" s="28" t="str"/>
      <x:c r="R12" s="28" t="str"/>
      <x:c r="S12" s="28" t="str">
        <x:v>Medium</x:v>
      </x:c>
      <x:c r="T12" s="28" t="str">
        <x:f>IF(L12="Done","Green",IF(L12="Blocked","Red",IF(TODAY()&gt;J12,"Red",IF(M12&gt;=0.6,"Yellow","Green"))))</x:f>
        <x:v>Green</x:v>
      </x:c>
      <x:c r="U12" s="28" t="str"/>
    </x:row>
    <x:row r="13">
      <x:c r="A13" s="28" t="str">
        <x:v>SV-00-0011</x:v>
      </x:c>
      <x:c r="B13" s="28" t="str">
        <x:v>Sprint 0</x:v>
      </x:c>
      <x:c r="C13" s="28" t="str">
        <x:v>Month 1</x:v>
      </x:c>
      <x:c r="D13" s="28" t="str">
        <x:v>Infra/OpenNebula Engineer</x:v>
      </x:c>
      <x:c r="E13" s="28" t="str">
        <x:v>Lab</x:v>
      </x:c>
      <x:c r="F13" s="28" t="str">
        <x:v>Validasi hardware dan akses lab</x:v>
      </x:c>
      <x:c r="G13" s="28" t="str">
        <x:v>Hardware readiness checklist</x:v>
      </x:c>
      <x:c r="H13" s="28" t="str">
        <x:v>High</x:v>
      </x:c>
      <x:c r="I13" s="42" t="n">
        <x:f>INDEX('Sprint Plan'!$D$9:$D$20,MATCH(B13,'Sprint Plan'!$A$9:$A$20,0))</x:f>
        <x:v>46204</x:v>
      </x:c>
      <x:c r="J13" s="42" t="n">
        <x:f>INDEX('Sprint Plan'!$E$9:$E$20,MATCH(B13,'Sprint Plan'!$A$9:$A$20,0))</x:f>
        <x:v>46217</x:v>
      </x:c>
      <x:c r="K13" s="28" t="str">
        <x:v>TBD</x:v>
      </x:c>
      <x:c r="L13" s="28" t="str">
        <x:v>Not Started</x:v>
      </x:c>
      <x:c r="M13" s="43" t="n">
        <x:v>0</x:v>
      </x:c>
      <x:c r="N13" s="28" t="n">
        <x:v>1</x:v>
      </x:c>
      <x:c r="O13" s="28" t="str"/>
      <x:c r="P13" s="28" t="str"/>
      <x:c r="Q13" s="28" t="str"/>
      <x:c r="R13" s="28" t="str"/>
      <x:c r="S13" s="28" t="str">
        <x:v>Medium</x:v>
      </x:c>
      <x:c r="T13" s="28" t="str">
        <x:f>IF(L13="Done","Green",IF(L13="Blocked","Red",IF(TODAY()&gt;J13,"Red",IF(M13&gt;=0.6,"Yellow","Green"))))</x:f>
        <x:v>Green</x:v>
      </x:c>
      <x:c r="U13" s="28" t="str"/>
    </x:row>
    <x:row r="14">
      <x:c r="A14" s="28" t="str">
        <x:v>SV-00-0012</x:v>
      </x:c>
      <x:c r="B14" s="28" t="str">
        <x:v>Sprint 0</x:v>
      </x:c>
      <x:c r="C14" s="28" t="str">
        <x:v>Month 1</x:v>
      </x:c>
      <x:c r="D14" s="28" t="str">
        <x:v>Infra/OpenNebula Engineer</x:v>
      </x:c>
      <x:c r="E14" s="28" t="str">
        <x:v>OS</x:v>
      </x:c>
      <x:c r="F14" s="28" t="str">
        <x:v>Menyiapkan OS installer Ubuntu/Debian</x:v>
      </x:c>
      <x:c r="G14" s="28" t="str">
        <x:v>OS image ready</x:v>
      </x:c>
      <x:c r="H14" s="28" t="str">
        <x:v>High</x:v>
      </x:c>
      <x:c r="I14" s="42" t="n">
        <x:f>INDEX('Sprint Plan'!$D$9:$D$20,MATCH(B14,'Sprint Plan'!$A$9:$A$20,0))</x:f>
        <x:v>46204</x:v>
      </x:c>
      <x:c r="J14" s="42" t="n">
        <x:f>INDEX('Sprint Plan'!$E$9:$E$20,MATCH(B14,'Sprint Plan'!$A$9:$A$20,0))</x:f>
        <x:v>46217</x:v>
      </x:c>
      <x:c r="K14" s="28" t="str">
        <x:v>TBD</x:v>
      </x:c>
      <x:c r="L14" s="28" t="str">
        <x:v>Not Started</x:v>
      </x:c>
      <x:c r="M14" s="43" t="n">
        <x:v>0</x:v>
      </x:c>
      <x:c r="N14" s="28" t="n">
        <x:v>1</x:v>
      </x:c>
      <x:c r="O14" s="28" t="str"/>
      <x:c r="P14" s="28" t="str"/>
      <x:c r="Q14" s="28" t="str"/>
      <x:c r="R14" s="28" t="str"/>
      <x:c r="S14" s="28" t="str">
        <x:v>Medium</x:v>
      </x:c>
      <x:c r="T14" s="28" t="str">
        <x:f>IF(L14="Done","Green",IF(L14="Blocked","Red",IF(TODAY()&gt;J14,"Red",IF(M14&gt;=0.6,"Yellow","Green"))))</x:f>
        <x:v>Green</x:v>
      </x:c>
      <x:c r="U14" s="28" t="str"/>
    </x:row>
    <x:row r="15">
      <x:c r="A15" s="28" t="str">
        <x:v>SV-00-0013</x:v>
      </x:c>
      <x:c r="B15" s="28" t="str">
        <x:v>Sprint 0</x:v>
      </x:c>
      <x:c r="C15" s="28" t="str">
        <x:v>Month 1</x:v>
      </x:c>
      <x:c r="D15" s="28" t="str">
        <x:v>Infra/OpenNebula Engineer</x:v>
      </x:c>
      <x:c r="E15" s="28" t="str">
        <x:v>Network</x:v>
      </x:c>
      <x:c r="F15" s="28" t="str">
        <x:v>Menyiapkan VLAN/IP plan dan akses remote</x:v>
      </x:c>
      <x:c r="G15" s="28" t="str">
        <x:v>Network plan</x:v>
      </x:c>
      <x:c r="H15" s="28" t="str">
        <x:v>High</x:v>
      </x:c>
      <x:c r="I15" s="42" t="n">
        <x:f>INDEX('Sprint Plan'!$D$9:$D$20,MATCH(B15,'Sprint Plan'!$A$9:$A$20,0))</x:f>
        <x:v>46204</x:v>
      </x:c>
      <x:c r="J15" s="42" t="n">
        <x:f>INDEX('Sprint Plan'!$E$9:$E$20,MATCH(B15,'Sprint Plan'!$A$9:$A$20,0))</x:f>
        <x:v>46217</x:v>
      </x:c>
      <x:c r="K15" s="28" t="str">
        <x:v>TBD</x:v>
      </x:c>
      <x:c r="L15" s="28" t="str">
        <x:v>Not Started</x:v>
      </x:c>
      <x:c r="M15" s="43" t="n">
        <x:v>0</x:v>
      </x:c>
      <x:c r="N15" s="28" t="n">
        <x:v>1</x:v>
      </x:c>
      <x:c r="O15" s="28" t="str"/>
      <x:c r="P15" s="28" t="str"/>
      <x:c r="Q15" s="28" t="str"/>
      <x:c r="R15" s="28" t="str"/>
      <x:c r="S15" s="28" t="str">
        <x:v>Medium</x:v>
      </x:c>
      <x:c r="T15" s="28" t="str">
        <x:f>IF(L15="Done","Green",IF(L15="Blocked","Red",IF(TODAY()&gt;J15,"Red",IF(M15&gt;=0.6,"Yellow","Green"))))</x:f>
        <x:v>Green</x:v>
      </x:c>
      <x:c r="U15" s="28" t="str"/>
    </x:row>
    <x:row r="16">
      <x:c r="A16" s="28" t="str">
        <x:v>SV-00-0014</x:v>
      </x:c>
      <x:c r="B16" s="28" t="str">
        <x:v>Sprint 0</x:v>
      </x:c>
      <x:c r="C16" s="28" t="str">
        <x:v>Month 1</x:v>
      </x:c>
      <x:c r="D16" s="28" t="str">
        <x:v>Infra/OpenNebula Engineer</x:v>
      </x:c>
      <x:c r="E16" s="28" t="str">
        <x:v>Backup</x:v>
      </x:c>
      <x:c r="F16" s="28" t="str">
        <x:v>Menyiapkan backup repository plan</x:v>
      </x:c>
      <x:c r="G16" s="28" t="str">
        <x:v>Backup plan</x:v>
      </x:c>
      <x:c r="H16" s="28" t="str">
        <x:v>High</x:v>
      </x:c>
      <x:c r="I16" s="42" t="n">
        <x:f>INDEX('Sprint Plan'!$D$9:$D$20,MATCH(B16,'Sprint Plan'!$A$9:$A$20,0))</x:f>
        <x:v>46204</x:v>
      </x:c>
      <x:c r="J16" s="42" t="n">
        <x:f>INDEX('Sprint Plan'!$E$9:$E$20,MATCH(B16,'Sprint Plan'!$A$9:$A$20,0))</x:f>
        <x:v>46217</x:v>
      </x:c>
      <x:c r="K16" s="28" t="str">
        <x:v>TBD</x:v>
      </x:c>
      <x:c r="L16" s="28" t="str">
        <x:v>Not Started</x:v>
      </x:c>
      <x:c r="M16" s="43" t="n">
        <x:v>0</x:v>
      </x:c>
      <x:c r="N16" s="28" t="n">
        <x:v>1</x:v>
      </x:c>
      <x:c r="O16" s="28" t="str"/>
      <x:c r="P16" s="28" t="str"/>
      <x:c r="Q16" s="28" t="str"/>
      <x:c r="R16" s="28" t="str"/>
      <x:c r="S16" s="28" t="str">
        <x:v>Medium</x:v>
      </x:c>
      <x:c r="T16" s="28" t="str">
        <x:f>IF(L16="Done","Green",IF(L16="Blocked","Red",IF(TODAY()&gt;J16,"Red",IF(M16&gt;=0.6,"Yellow","Green"))))</x:f>
        <x:v>Green</x:v>
      </x:c>
      <x:c r="U16" s="28" t="str"/>
    </x:row>
    <x:row r="17">
      <x:c r="A17" s="28" t="str">
        <x:v>SV-00-0015</x:v>
      </x:c>
      <x:c r="B17" s="28" t="str">
        <x:v>Sprint 0</x:v>
      </x:c>
      <x:c r="C17" s="28" t="str">
        <x:v>Month 1</x:v>
      </x:c>
      <x:c r="D17" s="28" t="str">
        <x:v>Infra/OpenNebula Engineer</x:v>
      </x:c>
      <x:c r="E17" s="28" t="str">
        <x:v>Install</x:v>
      </x:c>
      <x:c r="F17" s="28" t="str">
        <x:v>Membuat checklist instalasi OpenNebula CE</x:v>
      </x:c>
      <x:c r="G17" s="28" t="str">
        <x:v>Install checklist</x:v>
      </x:c>
      <x:c r="H17" s="28" t="str">
        <x:v>High</x:v>
      </x:c>
      <x:c r="I17" s="42" t="n">
        <x:f>INDEX('Sprint Plan'!$D$9:$D$20,MATCH(B17,'Sprint Plan'!$A$9:$A$20,0))</x:f>
        <x:v>46204</x:v>
      </x:c>
      <x:c r="J17" s="42" t="n">
        <x:f>INDEX('Sprint Plan'!$E$9:$E$20,MATCH(B17,'Sprint Plan'!$A$9:$A$20,0))</x:f>
        <x:v>46217</x:v>
      </x:c>
      <x:c r="K17" s="28" t="str">
        <x:v>TBD</x:v>
      </x:c>
      <x:c r="L17" s="28" t="str">
        <x:v>Not Started</x:v>
      </x:c>
      <x:c r="M17" s="43" t="n">
        <x:v>0</x:v>
      </x:c>
      <x:c r="N17" s="28" t="n">
        <x:v>1</x:v>
      </x:c>
      <x:c r="O17" s="28" t="str"/>
      <x:c r="P17" s="28" t="str"/>
      <x:c r="Q17" s="28" t="str"/>
      <x:c r="R17" s="28" t="str"/>
      <x:c r="S17" s="28" t="str">
        <x:v>Medium</x:v>
      </x:c>
      <x:c r="T17" s="28" t="str">
        <x:f>IF(L17="Done","Green",IF(L17="Blocked","Red",IF(TODAY()&gt;J17,"Red",IF(M17&gt;=0.6,"Yellow","Green"))))</x:f>
        <x:v>Green</x:v>
      </x:c>
      <x:c r="U17" s="28" t="str"/>
    </x:row>
    <x:row r="18">
      <x:c r="A18" s="28" t="str">
        <x:v>SV-00-0016</x:v>
      </x:c>
      <x:c r="B18" s="28" t="str">
        <x:v>Sprint 0</x:v>
      </x:c>
      <x:c r="C18" s="28" t="str">
        <x:v>Month 1</x:v>
      </x:c>
      <x:c r="D18" s="28" t="str">
        <x:v>Backend Engineer</x:v>
      </x:c>
      <x:c r="E18" s="28" t="str">
        <x:v>Repo</x:v>
      </x:c>
      <x:c r="F18" s="28" t="str">
        <x:v>Setup repo backend dan NestJS skeleton</x:v>
      </x:c>
      <x:c r="G18" s="28" t="str">
        <x:v>Backend repo</x:v>
      </x:c>
      <x:c r="H18" s="28" t="str">
        <x:v>High</x:v>
      </x:c>
      <x:c r="I18" s="42" t="n">
        <x:f>INDEX('Sprint Plan'!$D$9:$D$20,MATCH(B18,'Sprint Plan'!$A$9:$A$20,0))</x:f>
        <x:v>46204</x:v>
      </x:c>
      <x:c r="J18" s="42" t="n">
        <x:f>INDEX('Sprint Plan'!$E$9:$E$20,MATCH(B18,'Sprint Plan'!$A$9:$A$20,0))</x:f>
        <x:v>46217</x:v>
      </x:c>
      <x:c r="K18" s="28" t="str">
        <x:v>TBD</x:v>
      </x:c>
      <x:c r="L18" s="28" t="str">
        <x:v>Not Started</x:v>
      </x:c>
      <x:c r="M18" s="43" t="n">
        <x:v>0</x:v>
      </x:c>
      <x:c r="N18" s="28" t="n">
        <x:v>1</x:v>
      </x:c>
      <x:c r="O18" s="28" t="str"/>
      <x:c r="P18" s="28" t="str"/>
      <x:c r="Q18" s="28" t="str"/>
      <x:c r="R18" s="28" t="str"/>
      <x:c r="S18" s="28" t="str">
        <x:v>Medium</x:v>
      </x:c>
      <x:c r="T18" s="28" t="str">
        <x:f>IF(L18="Done","Green",IF(L18="Blocked","Red",IF(TODAY()&gt;J18,"Red",IF(M18&gt;=0.6,"Yellow","Green"))))</x:f>
        <x:v>Green</x:v>
      </x:c>
      <x:c r="U18" s="28" t="str"/>
    </x:row>
    <x:row r="19">
      <x:c r="A19" s="28" t="str">
        <x:v>SV-00-0017</x:v>
      </x:c>
      <x:c r="B19" s="28" t="str">
        <x:v>Sprint 0</x:v>
      </x:c>
      <x:c r="C19" s="28" t="str">
        <x:v>Month 1</x:v>
      </x:c>
      <x:c r="D19" s="28" t="str">
        <x:v>Backend Engineer</x:v>
      </x:c>
      <x:c r="E19" s="28" t="str">
        <x:v>Database</x:v>
      </x:c>
      <x:c r="F19" s="28" t="str">
        <x:v>Setup PostgreSQL initial schema</x:v>
      </x:c>
      <x:c r="G19" s="28" t="str">
        <x:v>Initial schema</x:v>
      </x:c>
      <x:c r="H19" s="28" t="str">
        <x:v>High</x:v>
      </x:c>
      <x:c r="I19" s="42" t="n">
        <x:f>INDEX('Sprint Plan'!$D$9:$D$20,MATCH(B19,'Sprint Plan'!$A$9:$A$20,0))</x:f>
        <x:v>46204</x:v>
      </x:c>
      <x:c r="J19" s="42" t="n">
        <x:f>INDEX('Sprint Plan'!$E$9:$E$20,MATCH(B19,'Sprint Plan'!$A$9:$A$20,0))</x:f>
        <x:v>46217</x:v>
      </x:c>
      <x:c r="K19" s="28" t="str">
        <x:v>TBD</x:v>
      </x:c>
      <x:c r="L19" s="28" t="str">
        <x:v>Not Started</x:v>
      </x:c>
      <x:c r="M19" s="43" t="n">
        <x:v>0</x:v>
      </x:c>
      <x:c r="N19" s="28" t="n">
        <x:v>1</x:v>
      </x:c>
      <x:c r="O19" s="28" t="str"/>
      <x:c r="P19" s="28" t="str"/>
      <x:c r="Q19" s="28" t="str"/>
      <x:c r="R19" s="28" t="str"/>
      <x:c r="S19" s="28" t="str">
        <x:v>Medium</x:v>
      </x:c>
      <x:c r="T19" s="28" t="str">
        <x:f>IF(L19="Done","Green",IF(L19="Blocked","Red",IF(TODAY()&gt;J19,"Red",IF(M19&gt;=0.6,"Yellow","Green"))))</x:f>
        <x:v>Green</x:v>
      </x:c>
      <x:c r="U19" s="28" t="str"/>
    </x:row>
    <x:row r="20">
      <x:c r="A20" s="28" t="str">
        <x:v>SV-00-0018</x:v>
      </x:c>
      <x:c r="B20" s="28" t="str">
        <x:v>Sprint 0</x:v>
      </x:c>
      <x:c r="C20" s="28" t="str">
        <x:v>Month 1</x:v>
      </x:c>
      <x:c r="D20" s="28" t="str">
        <x:v>Backend Engineer</x:v>
      </x:c>
      <x:c r="E20" s="28" t="str">
        <x:v>Queue</x:v>
      </x:c>
      <x:c r="F20" s="28" t="str">
        <x:v>Setup Redis/BullMQ skeleton</x:v>
      </x:c>
      <x:c r="G20" s="28" t="str">
        <x:v>Queue skeleton</x:v>
      </x:c>
      <x:c r="H20" s="28" t="str">
        <x:v>High</x:v>
      </x:c>
      <x:c r="I20" s="42" t="n">
        <x:f>INDEX('Sprint Plan'!$D$9:$D$20,MATCH(B20,'Sprint Plan'!$A$9:$A$20,0))</x:f>
        <x:v>46204</x:v>
      </x:c>
      <x:c r="J20" s="42" t="n">
        <x:f>INDEX('Sprint Plan'!$E$9:$E$20,MATCH(B20,'Sprint Plan'!$A$9:$A$20,0))</x:f>
        <x:v>46217</x:v>
      </x:c>
      <x:c r="K20" s="28" t="str">
        <x:v>TBD</x:v>
      </x:c>
      <x:c r="L20" s="28" t="str">
        <x:v>Not Started</x:v>
      </x:c>
      <x:c r="M20" s="43" t="n">
        <x:v>0</x:v>
      </x:c>
      <x:c r="N20" s="28" t="n">
        <x:v>1</x:v>
      </x:c>
      <x:c r="O20" s="28" t="str"/>
      <x:c r="P20" s="28" t="str"/>
      <x:c r="Q20" s="28" t="str"/>
      <x:c r="R20" s="28" t="str"/>
      <x:c r="S20" s="28" t="str">
        <x:v>Medium</x:v>
      </x:c>
      <x:c r="T20" s="28" t="str">
        <x:f>IF(L20="Done","Green",IF(L20="Blocked","Red",IF(TODAY()&gt;J20,"Red",IF(M20&gt;=0.6,"Yellow","Green"))))</x:f>
        <x:v>Green</x:v>
      </x:c>
      <x:c r="U20" s="28" t="str"/>
    </x:row>
    <x:row r="21">
      <x:c r="A21" s="28" t="str">
        <x:v>SV-00-0019</x:v>
      </x:c>
      <x:c r="B21" s="28" t="str">
        <x:v>Sprint 0</x:v>
      </x:c>
      <x:c r="C21" s="28" t="str">
        <x:v>Month 1</x:v>
      </x:c>
      <x:c r="D21" s="28" t="str">
        <x:v>Backend Engineer</x:v>
      </x:c>
      <x:c r="E21" s="28" t="str">
        <x:v>API Docs</x:v>
      </x:c>
      <x:c r="F21" s="28" t="str">
        <x:v>Setup Swagger/OpenAPI</x:v>
      </x:c>
      <x:c r="G21" s="28" t="str">
        <x:v>API docs skeleton</x:v>
      </x:c>
      <x:c r="H21" s="28" t="str">
        <x:v>High</x:v>
      </x:c>
      <x:c r="I21" s="42" t="n">
        <x:f>INDEX('Sprint Plan'!$D$9:$D$20,MATCH(B21,'Sprint Plan'!$A$9:$A$20,0))</x:f>
        <x:v>46204</x:v>
      </x:c>
      <x:c r="J21" s="42" t="n">
        <x:f>INDEX('Sprint Plan'!$E$9:$E$20,MATCH(B21,'Sprint Plan'!$A$9:$A$20,0))</x:f>
        <x:v>46217</x:v>
      </x:c>
      <x:c r="K21" s="28" t="str">
        <x:v>TBD</x:v>
      </x:c>
      <x:c r="L21" s="28" t="str">
        <x:v>Not Started</x:v>
      </x:c>
      <x:c r="M21" s="43" t="n">
        <x:v>0</x:v>
      </x:c>
      <x:c r="N21" s="28" t="n">
        <x:v>1</x:v>
      </x:c>
      <x:c r="O21" s="28" t="str"/>
      <x:c r="P21" s="28" t="str"/>
      <x:c r="Q21" s="28" t="str"/>
      <x:c r="R21" s="28" t="str"/>
      <x:c r="S21" s="28" t="str">
        <x:v>Medium</x:v>
      </x:c>
      <x:c r="T21" s="28" t="str">
        <x:f>IF(L21="Done","Green",IF(L21="Blocked","Red",IF(TODAY()&gt;J21,"Red",IF(M21&gt;=0.6,"Yellow","Green"))))</x:f>
        <x:v>Green</x:v>
      </x:c>
      <x:c r="U21" s="28" t="str"/>
    </x:row>
    <x:row r="22">
      <x:c r="A22" s="28" t="str">
        <x:v>SV-00-0020</x:v>
      </x:c>
      <x:c r="B22" s="28" t="str">
        <x:v>Sprint 0</x:v>
      </x:c>
      <x:c r="C22" s="28" t="str">
        <x:v>Month 1</x:v>
      </x:c>
      <x:c r="D22" s="28" t="str">
        <x:v>Backend Engineer</x:v>
      </x:c>
      <x:c r="E22" s="28" t="str">
        <x:v>Adapter</x:v>
      </x:c>
      <x:c r="F22" s="28" t="str">
        <x:v>Setup OpenNebula adapter module draft</x:v>
      </x:c>
      <x:c r="G22" s="28" t="str">
        <x:v>Adapter skeleton</x:v>
      </x:c>
      <x:c r="H22" s="28" t="str">
        <x:v>High</x:v>
      </x:c>
      <x:c r="I22" s="42" t="n">
        <x:f>INDEX('Sprint Plan'!$D$9:$D$20,MATCH(B22,'Sprint Plan'!$A$9:$A$20,0))</x:f>
        <x:v>46204</x:v>
      </x:c>
      <x:c r="J22" s="42" t="n">
        <x:f>INDEX('Sprint Plan'!$E$9:$E$20,MATCH(B22,'Sprint Plan'!$A$9:$A$20,0))</x:f>
        <x:v>46217</x:v>
      </x:c>
      <x:c r="K22" s="28" t="str">
        <x:v>TBD</x:v>
      </x:c>
      <x:c r="L22" s="28" t="str">
        <x:v>Not Started</x:v>
      </x:c>
      <x:c r="M22" s="43" t="n">
        <x:v>0</x:v>
      </x:c>
      <x:c r="N22" s="28" t="n">
        <x:v>1</x:v>
      </x:c>
      <x:c r="O22" s="28" t="str"/>
      <x:c r="P22" s="28" t="str"/>
      <x:c r="Q22" s="28" t="str"/>
      <x:c r="R22" s="28" t="str"/>
      <x:c r="S22" s="28" t="str">
        <x:v>Medium</x:v>
      </x:c>
      <x:c r="T22" s="28" t="str">
        <x:f>IF(L22="Done","Green",IF(L22="Blocked","Red",IF(TODAY()&gt;J22,"Red",IF(M22&gt;=0.6,"Yellow","Green"))))</x:f>
        <x:v>Green</x:v>
      </x:c>
      <x:c r="U22" s="28" t="str"/>
    </x:row>
    <x:row r="23">
      <x:c r="A23" s="28" t="str">
        <x:v>SV-00-0021</x:v>
      </x:c>
      <x:c r="B23" s="28" t="str">
        <x:v>Sprint 0</x:v>
      </x:c>
      <x:c r="C23" s="28" t="str">
        <x:v>Month 1</x:v>
      </x:c>
      <x:c r="D23" s="28" t="str">
        <x:v>Frontend Engineer</x:v>
      </x:c>
      <x:c r="E23" s="28" t="str">
        <x:v>Repo</x:v>
      </x:c>
      <x:c r="F23" s="28" t="str">
        <x:v>Setup repo frontend dan Next.js project</x:v>
      </x:c>
      <x:c r="G23" s="28" t="str">
        <x:v>Frontend repo</x:v>
      </x:c>
      <x:c r="H23" s="28" t="str">
        <x:v>High</x:v>
      </x:c>
      <x:c r="I23" s="42" t="n">
        <x:f>INDEX('Sprint Plan'!$D$9:$D$20,MATCH(B23,'Sprint Plan'!$A$9:$A$20,0))</x:f>
        <x:v>46204</x:v>
      </x:c>
      <x:c r="J23" s="42" t="n">
        <x:f>INDEX('Sprint Plan'!$E$9:$E$20,MATCH(B23,'Sprint Plan'!$A$9:$A$20,0))</x:f>
        <x:v>46217</x:v>
      </x:c>
      <x:c r="K23" s="28" t="str">
        <x:v>TBD</x:v>
      </x:c>
      <x:c r="L23" s="28" t="str">
        <x:v>Not Started</x:v>
      </x:c>
      <x:c r="M23" s="43" t="n">
        <x:v>0</x:v>
      </x:c>
      <x:c r="N23" s="28" t="n">
        <x:v>1</x:v>
      </x:c>
      <x:c r="O23" s="28" t="str"/>
      <x:c r="P23" s="28" t="str"/>
      <x:c r="Q23" s="28" t="str"/>
      <x:c r="R23" s="28" t="str"/>
      <x:c r="S23" s="28" t="str">
        <x:v>Medium</x:v>
      </x:c>
      <x:c r="T23" s="28" t="str">
        <x:f>IF(L23="Done","Green",IF(L23="Blocked","Red",IF(TODAY()&gt;J23,"Red",IF(M23&gt;=0.6,"Yellow","Green"))))</x:f>
        <x:v>Green</x:v>
      </x:c>
      <x:c r="U23" s="28" t="str"/>
    </x:row>
    <x:row r="24">
      <x:c r="A24" s="28" t="str">
        <x:v>SV-00-0022</x:v>
      </x:c>
      <x:c r="B24" s="28" t="str">
        <x:v>Sprint 0</x:v>
      </x:c>
      <x:c r="C24" s="28" t="str">
        <x:v>Month 1</x:v>
      </x:c>
      <x:c r="D24" s="28" t="str">
        <x:v>Frontend Engineer</x:v>
      </x:c>
      <x:c r="E24" s="28" t="str">
        <x:v>UI Kit</x:v>
      </x:c>
      <x:c r="F24" s="28" t="str">
        <x:v>Setup UI library dan design token Saft VE</x:v>
      </x:c>
      <x:c r="G24" s="28" t="str">
        <x:v>Design token</x:v>
      </x:c>
      <x:c r="H24" s="28" t="str">
        <x:v>High</x:v>
      </x:c>
      <x:c r="I24" s="42" t="n">
        <x:f>INDEX('Sprint Plan'!$D$9:$D$20,MATCH(B24,'Sprint Plan'!$A$9:$A$20,0))</x:f>
        <x:v>46204</x:v>
      </x:c>
      <x:c r="J24" s="42" t="n">
        <x:f>INDEX('Sprint Plan'!$E$9:$E$20,MATCH(B24,'Sprint Plan'!$A$9:$A$20,0))</x:f>
        <x:v>46217</x:v>
      </x:c>
      <x:c r="K24" s="28" t="str">
        <x:v>TBD</x:v>
      </x:c>
      <x:c r="L24" s="28" t="str">
        <x:v>Not Started</x:v>
      </x:c>
      <x:c r="M24" s="43" t="n">
        <x:v>0</x:v>
      </x:c>
      <x:c r="N24" s="28" t="n">
        <x:v>1</x:v>
      </x:c>
      <x:c r="O24" s="28" t="str"/>
      <x:c r="P24" s="28" t="str"/>
      <x:c r="Q24" s="28" t="str"/>
      <x:c r="R24" s="28" t="str"/>
      <x:c r="S24" s="28" t="str">
        <x:v>Medium</x:v>
      </x:c>
      <x:c r="T24" s="28" t="str">
        <x:f>IF(L24="Done","Green",IF(L24="Blocked","Red",IF(TODAY()&gt;J24,"Red",IF(M24&gt;=0.6,"Yellow","Green"))))</x:f>
        <x:v>Green</x:v>
      </x:c>
      <x:c r="U24" s="28" t="str"/>
    </x:row>
    <x:row r="25">
      <x:c r="A25" s="28" t="str">
        <x:v>SV-00-0023</x:v>
      </x:c>
      <x:c r="B25" s="28" t="str">
        <x:v>Sprint 0</x:v>
      </x:c>
      <x:c r="C25" s="28" t="str">
        <x:v>Month 1</x:v>
      </x:c>
      <x:c r="D25" s="28" t="str">
        <x:v>Frontend Engineer</x:v>
      </x:c>
      <x:c r="E25" s="28" t="str">
        <x:v>Layout</x:v>
      </x:c>
      <x:c r="F25" s="28" t="str">
        <x:v>Buat app shell, sidebar, topbar</x:v>
      </x:c>
      <x:c r="G25" s="28" t="str">
        <x:v>App shell</x:v>
      </x:c>
      <x:c r="H25" s="28" t="str">
        <x:v>High</x:v>
      </x:c>
      <x:c r="I25" s="42" t="n">
        <x:f>INDEX('Sprint Plan'!$D$9:$D$20,MATCH(B25,'Sprint Plan'!$A$9:$A$20,0))</x:f>
        <x:v>46204</x:v>
      </x:c>
      <x:c r="J25" s="42" t="n">
        <x:f>INDEX('Sprint Plan'!$E$9:$E$20,MATCH(B25,'Sprint Plan'!$A$9:$A$20,0))</x:f>
        <x:v>46217</x:v>
      </x:c>
      <x:c r="K25" s="28" t="str">
        <x:v>TBD</x:v>
      </x:c>
      <x:c r="L25" s="28" t="str">
        <x:v>Not Started</x:v>
      </x:c>
      <x:c r="M25" s="43" t="n">
        <x:v>0</x:v>
      </x:c>
      <x:c r="N25" s="28" t="n">
        <x:v>1</x:v>
      </x:c>
      <x:c r="O25" s="28" t="str"/>
      <x:c r="P25" s="28" t="str"/>
      <x:c r="Q25" s="28" t="str"/>
      <x:c r="R25" s="28" t="str"/>
      <x:c r="S25" s="28" t="str">
        <x:v>Medium</x:v>
      </x:c>
      <x:c r="T25" s="28" t="str">
        <x:f>IF(L25="Done","Green",IF(L25="Blocked","Red",IF(TODAY()&gt;J25,"Red",IF(M25&gt;=0.6,"Yellow","Green"))))</x:f>
        <x:v>Green</x:v>
      </x:c>
      <x:c r="U25" s="28" t="str"/>
    </x:row>
    <x:row r="26">
      <x:c r="A26" s="28" t="str">
        <x:v>SV-00-0024</x:v>
      </x:c>
      <x:c r="B26" s="28" t="str">
        <x:v>Sprint 0</x:v>
      </x:c>
      <x:c r="C26" s="28" t="str">
        <x:v>Month 1</x:v>
      </x:c>
      <x:c r="D26" s="28" t="str">
        <x:v>Frontend Engineer</x:v>
      </x:c>
      <x:c r="E26" s="28" t="str">
        <x:v>Login</x:v>
      </x:c>
      <x:c r="F26" s="28" t="str">
        <x:v>Buat login screen draft</x:v>
      </x:c>
      <x:c r="G26" s="28" t="str">
        <x:v>Login UI</x:v>
      </x:c>
      <x:c r="H26" s="28" t="str">
        <x:v>High</x:v>
      </x:c>
      <x:c r="I26" s="42" t="n">
        <x:f>INDEX('Sprint Plan'!$D$9:$D$20,MATCH(B26,'Sprint Plan'!$A$9:$A$20,0))</x:f>
        <x:v>46204</x:v>
      </x:c>
      <x:c r="J26" s="42" t="n">
        <x:f>INDEX('Sprint Plan'!$E$9:$E$20,MATCH(B26,'Sprint Plan'!$A$9:$A$20,0))</x:f>
        <x:v>46217</x:v>
      </x:c>
      <x:c r="K26" s="28" t="str">
        <x:v>TBD</x:v>
      </x:c>
      <x:c r="L26" s="28" t="str">
        <x:v>Not Started</x:v>
      </x:c>
      <x:c r="M26" s="43" t="n">
        <x:v>0</x:v>
      </x:c>
      <x:c r="N26" s="28" t="n">
        <x:v>1</x:v>
      </x:c>
      <x:c r="O26" s="28" t="str"/>
      <x:c r="P26" s="28" t="str"/>
      <x:c r="Q26" s="28" t="str"/>
      <x:c r="R26" s="28" t="str"/>
      <x:c r="S26" s="28" t="str">
        <x:v>Medium</x:v>
      </x:c>
      <x:c r="T26" s="28" t="str">
        <x:f>IF(L26="Done","Green",IF(L26="Blocked","Red",IF(TODAY()&gt;J26,"Red",IF(M26&gt;=0.6,"Yellow","Green"))))</x:f>
        <x:v>Green</x:v>
      </x:c>
      <x:c r="U26" s="28" t="str"/>
    </x:row>
    <x:row r="27">
      <x:c r="A27" s="28" t="str">
        <x:v>SV-00-0025</x:v>
      </x:c>
      <x:c r="B27" s="28" t="str">
        <x:v>Sprint 0</x:v>
      </x:c>
      <x:c r="C27" s="28" t="str">
        <x:v>Month 1</x:v>
      </x:c>
      <x:c r="D27" s="28" t="str">
        <x:v>Frontend Engineer</x:v>
      </x:c>
      <x:c r="E27" s="28" t="str">
        <x:v>Dashboard</x:v>
      </x:c>
      <x:c r="F27" s="28" t="str">
        <x:v>Buat dashboard wireframe</x:v>
      </x:c>
      <x:c r="G27" s="28" t="str">
        <x:v>Dashboard mockup</x:v>
      </x:c>
      <x:c r="H27" s="28" t="str">
        <x:v>High</x:v>
      </x:c>
      <x:c r="I27" s="42" t="n">
        <x:f>INDEX('Sprint Plan'!$D$9:$D$20,MATCH(B27,'Sprint Plan'!$A$9:$A$20,0))</x:f>
        <x:v>46204</x:v>
      </x:c>
      <x:c r="J27" s="42" t="n">
        <x:f>INDEX('Sprint Plan'!$E$9:$E$20,MATCH(B27,'Sprint Plan'!$A$9:$A$20,0))</x:f>
        <x:v>46217</x:v>
      </x:c>
      <x:c r="K27" s="28" t="str">
        <x:v>TBD</x:v>
      </x:c>
      <x:c r="L27" s="28" t="str">
        <x:v>Not Started</x:v>
      </x:c>
      <x:c r="M27" s="43" t="n">
        <x:v>0</x:v>
      </x:c>
      <x:c r="N27" s="28" t="n">
        <x:v>1</x:v>
      </x:c>
      <x:c r="O27" s="28" t="str"/>
      <x:c r="P27" s="28" t="str"/>
      <x:c r="Q27" s="28" t="str"/>
      <x:c r="R27" s="28" t="str"/>
      <x:c r="S27" s="28" t="str">
        <x:v>Medium</x:v>
      </x:c>
      <x:c r="T27" s="28" t="str">
        <x:f>IF(L27="Done","Green",IF(L27="Blocked","Red",IF(TODAY()&gt;J27,"Red",IF(M27&gt;=0.6,"Yellow","Green"))))</x:f>
        <x:v>Green</x:v>
      </x:c>
      <x:c r="U27" s="28" t="str"/>
    </x:row>
    <x:row r="28">
      <x:c r="A28" s="28" t="str">
        <x:v>SV-00-0026</x:v>
      </x:c>
      <x:c r="B28" s="28" t="str">
        <x:v>Sprint 0</x:v>
      </x:c>
      <x:c r="C28" s="28" t="str">
        <x:v>Month 1</x:v>
      </x:c>
      <x:c r="D28" s="28" t="str">
        <x:v>QA/Tester</x:v>
      </x:c>
      <x:c r="E28" s="28" t="str">
        <x:v>Strategy</x:v>
      </x:c>
      <x:c r="F28" s="28" t="str">
        <x:v>Membuat test strategy POC</x:v>
      </x:c>
      <x:c r="G28" s="28" t="str">
        <x:v>Test strategy</x:v>
      </x:c>
      <x:c r="H28" s="28" t="str">
        <x:v>High</x:v>
      </x:c>
      <x:c r="I28" s="42" t="n">
        <x:f>INDEX('Sprint Plan'!$D$9:$D$20,MATCH(B28,'Sprint Plan'!$A$9:$A$20,0))</x:f>
        <x:v>46204</x:v>
      </x:c>
      <x:c r="J28" s="42" t="n">
        <x:f>INDEX('Sprint Plan'!$E$9:$E$20,MATCH(B28,'Sprint Plan'!$A$9:$A$20,0))</x:f>
        <x:v>46217</x:v>
      </x:c>
      <x:c r="K28" s="28" t="str">
        <x:v>TBD</x:v>
      </x:c>
      <x:c r="L28" s="28" t="str">
        <x:v>Not Started</x:v>
      </x:c>
      <x:c r="M28" s="43" t="n">
        <x:v>0</x:v>
      </x:c>
      <x:c r="N28" s="28" t="n">
        <x:v>1</x:v>
      </x:c>
      <x:c r="O28" s="28" t="str"/>
      <x:c r="P28" s="28" t="str"/>
      <x:c r="Q28" s="28" t="str"/>
      <x:c r="R28" s="28" t="str"/>
      <x:c r="S28" s="28" t="str">
        <x:v>Medium</x:v>
      </x:c>
      <x:c r="T28" s="28" t="str">
        <x:f>IF(L28="Done","Green",IF(L28="Blocked","Red",IF(TODAY()&gt;J28,"Red",IF(M28&gt;=0.6,"Yellow","Green"))))</x:f>
        <x:v>Green</x:v>
      </x:c>
      <x:c r="U28" s="28" t="str"/>
    </x:row>
    <x:row r="29">
      <x:c r="A29" s="28" t="str">
        <x:v>SV-00-0027</x:v>
      </x:c>
      <x:c r="B29" s="28" t="str">
        <x:v>Sprint 0</x:v>
      </x:c>
      <x:c r="C29" s="28" t="str">
        <x:v>Month 1</x:v>
      </x:c>
      <x:c r="D29" s="28" t="str">
        <x:v>QA/Tester</x:v>
      </x:c>
      <x:c r="E29" s="28" t="str">
        <x:v>VM Test</x:v>
      </x:c>
      <x:c r="F29" s="28" t="str">
        <x:v>Membuat test case VM lifecycle</x:v>
      </x:c>
      <x:c r="G29" s="28" t="str">
        <x:v>VM lifecycle test cases</x:v>
      </x:c>
      <x:c r="H29" s="28" t="str">
        <x:v>High</x:v>
      </x:c>
      <x:c r="I29" s="42" t="n">
        <x:f>INDEX('Sprint Plan'!$D$9:$D$20,MATCH(B29,'Sprint Plan'!$A$9:$A$20,0))</x:f>
        <x:v>46204</x:v>
      </x:c>
      <x:c r="J29" s="42" t="n">
        <x:f>INDEX('Sprint Plan'!$E$9:$E$20,MATCH(B29,'Sprint Plan'!$A$9:$A$20,0))</x:f>
        <x:v>46217</x:v>
      </x:c>
      <x:c r="K29" s="28" t="str">
        <x:v>TBD</x:v>
      </x:c>
      <x:c r="L29" s="28" t="str">
        <x:v>Not Started</x:v>
      </x:c>
      <x:c r="M29" s="43" t="n">
        <x:v>0</x:v>
      </x:c>
      <x:c r="N29" s="28" t="n">
        <x:v>1</x:v>
      </x:c>
      <x:c r="O29" s="28" t="str"/>
      <x:c r="P29" s="28" t="str"/>
      <x:c r="Q29" s="28" t="str"/>
      <x:c r="R29" s="28" t="str"/>
      <x:c r="S29" s="28" t="str">
        <x:v>Medium</x:v>
      </x:c>
      <x:c r="T29" s="28" t="str">
        <x:f>IF(L29="Done","Green",IF(L29="Blocked","Red",IF(TODAY()&gt;J29,"Red",IF(M29&gt;=0.6,"Yellow","Green"))))</x:f>
        <x:v>Green</x:v>
      </x:c>
      <x:c r="U29" s="28" t="str"/>
    </x:row>
    <x:row r="30">
      <x:c r="A30" s="28" t="str">
        <x:v>SV-00-0028</x:v>
      </x:c>
      <x:c r="B30" s="28" t="str">
        <x:v>Sprint 0</x:v>
      </x:c>
      <x:c r="C30" s="28" t="str">
        <x:v>Month 1</x:v>
      </x:c>
      <x:c r="D30" s="28" t="str">
        <x:v>QA/Tester</x:v>
      </x:c>
      <x:c r="E30" s="28" t="str">
        <x:v>Backup Test</x:v>
      </x:c>
      <x:c r="F30" s="28" t="str">
        <x:v>Membuat test case backup/restore</x:v>
      </x:c>
      <x:c r="G30" s="28" t="str">
        <x:v>Backup test cases</x:v>
      </x:c>
      <x:c r="H30" s="28" t="str">
        <x:v>High</x:v>
      </x:c>
      <x:c r="I30" s="42" t="n">
        <x:f>INDEX('Sprint Plan'!$D$9:$D$20,MATCH(B30,'Sprint Plan'!$A$9:$A$20,0))</x:f>
        <x:v>46204</x:v>
      </x:c>
      <x:c r="J30" s="42" t="n">
        <x:f>INDEX('Sprint Plan'!$E$9:$E$20,MATCH(B30,'Sprint Plan'!$A$9:$A$20,0))</x:f>
        <x:v>46217</x:v>
      </x:c>
      <x:c r="K30" s="28" t="str">
        <x:v>TBD</x:v>
      </x:c>
      <x:c r="L30" s="28" t="str">
        <x:v>Not Started</x:v>
      </x:c>
      <x:c r="M30" s="43" t="n">
        <x:v>0</x:v>
      </x:c>
      <x:c r="N30" s="28" t="n">
        <x:v>1</x:v>
      </x:c>
      <x:c r="O30" s="28" t="str"/>
      <x:c r="P30" s="28" t="str"/>
      <x:c r="Q30" s="28" t="str"/>
      <x:c r="R30" s="28" t="str"/>
      <x:c r="S30" s="28" t="str">
        <x:v>Medium</x:v>
      </x:c>
      <x:c r="T30" s="28" t="str">
        <x:f>IF(L30="Done","Green",IF(L30="Blocked","Red",IF(TODAY()&gt;J30,"Red",IF(M30&gt;=0.6,"Yellow","Green"))))</x:f>
        <x:v>Green</x:v>
      </x:c>
      <x:c r="U30" s="28" t="str"/>
    </x:row>
    <x:row r="31">
      <x:c r="A31" s="28" t="str">
        <x:v>SV-00-0029</x:v>
      </x:c>
      <x:c r="B31" s="28" t="str">
        <x:v>Sprint 0</x:v>
      </x:c>
      <x:c r="C31" s="28" t="str">
        <x:v>Month 1</x:v>
      </x:c>
      <x:c r="D31" s="28" t="str">
        <x:v>QA/Tester</x:v>
      </x:c>
      <x:c r="E31" s="28" t="str">
        <x:v>Migration Test</x:v>
      </x:c>
      <x:c r="F31" s="28" t="str">
        <x:v>Membuat test case migration</x:v>
      </x:c>
      <x:c r="G31" s="28" t="str">
        <x:v>Migration test cases</x:v>
      </x:c>
      <x:c r="H31" s="28" t="str">
        <x:v>High</x:v>
      </x:c>
      <x:c r="I31" s="42" t="n">
        <x:f>INDEX('Sprint Plan'!$D$9:$D$20,MATCH(B31,'Sprint Plan'!$A$9:$A$20,0))</x:f>
        <x:v>46204</x:v>
      </x:c>
      <x:c r="J31" s="42" t="n">
        <x:f>INDEX('Sprint Plan'!$E$9:$E$20,MATCH(B31,'Sprint Plan'!$A$9:$A$20,0))</x:f>
        <x:v>46217</x:v>
      </x:c>
      <x:c r="K31" s="28" t="str">
        <x:v>TBD</x:v>
      </x:c>
      <x:c r="L31" s="28" t="str">
        <x:v>Not Started</x:v>
      </x:c>
      <x:c r="M31" s="43" t="n">
        <x:v>0</x:v>
      </x:c>
      <x:c r="N31" s="28" t="n">
        <x:v>1</x:v>
      </x:c>
      <x:c r="O31" s="28" t="str"/>
      <x:c r="P31" s="28" t="str"/>
      <x:c r="Q31" s="28" t="str"/>
      <x:c r="R31" s="28" t="str"/>
      <x:c r="S31" s="28" t="str">
        <x:v>Medium</x:v>
      </x:c>
      <x:c r="T31" s="28" t="str">
        <x:f>IF(L31="Done","Green",IF(L31="Blocked","Red",IF(TODAY()&gt;J31,"Red",IF(M31&gt;=0.6,"Yellow","Green"))))</x:f>
        <x:v>Green</x:v>
      </x:c>
      <x:c r="U31" s="28" t="str"/>
    </x:row>
    <x:row r="32">
      <x:c r="A32" s="28" t="str">
        <x:v>SV-00-0030</x:v>
      </x:c>
      <x:c r="B32" s="28" t="str">
        <x:v>Sprint 0</x:v>
      </x:c>
      <x:c r="C32" s="28" t="str">
        <x:v>Month 1</x:v>
      </x:c>
      <x:c r="D32" s="28" t="str">
        <x:v>QA/Tester</x:v>
      </x:c>
      <x:c r="E32" s="28" t="str">
        <x:v>Bug Process</x:v>
      </x:c>
      <x:c r="F32" s="28" t="str">
        <x:v>Membuat bug reporting template dan severity matrix</x:v>
      </x:c>
      <x:c r="G32" s="28" t="str">
        <x:v>Bug template</x:v>
      </x:c>
      <x:c r="H32" s="28" t="str">
        <x:v>High</x:v>
      </x:c>
      <x:c r="I32" s="42" t="n">
        <x:f>INDEX('Sprint Plan'!$D$9:$D$20,MATCH(B32,'Sprint Plan'!$A$9:$A$20,0))</x:f>
        <x:v>46204</x:v>
      </x:c>
      <x:c r="J32" s="42" t="n">
        <x:f>INDEX('Sprint Plan'!$E$9:$E$20,MATCH(B32,'Sprint Plan'!$A$9:$A$20,0))</x:f>
        <x:v>46217</x:v>
      </x:c>
      <x:c r="K32" s="28" t="str">
        <x:v>TBD</x:v>
      </x:c>
      <x:c r="L32" s="28" t="str">
        <x:v>Not Started</x:v>
      </x:c>
      <x:c r="M32" s="43" t="n">
        <x:v>0</x:v>
      </x:c>
      <x:c r="N32" s="28" t="n">
        <x:v>1</x:v>
      </x:c>
      <x:c r="O32" s="28" t="str"/>
      <x:c r="P32" s="28" t="str"/>
      <x:c r="Q32" s="28" t="str"/>
      <x:c r="R32" s="28" t="str"/>
      <x:c r="S32" s="28" t="str">
        <x:v>Medium</x:v>
      </x:c>
      <x:c r="T32" s="28" t="str">
        <x:f>IF(L32="Done","Green",IF(L32="Blocked","Red",IF(TODAY()&gt;J32,"Red",IF(M32&gt;=0.6,"Yellow","Green"))))</x:f>
        <x:v>Green</x:v>
      </x:c>
      <x:c r="U32" s="28" t="str"/>
    </x:row>
    <x:row r="33">
      <x:c r="A33" s="28" t="str">
        <x:v>SV-00-0031</x:v>
      </x:c>
      <x:c r="B33" s="28" t="str">
        <x:v>Sprint 0</x:v>
      </x:c>
      <x:c r="C33" s="28" t="str">
        <x:v>Month 1</x:v>
      </x:c>
      <x:c r="D33" s="28" t="str">
        <x:v>Technical Writer</x:v>
      </x:c>
      <x:c r="E33" s="28" t="str">
        <x:v>Docs</x:v>
      </x:c>
      <x:c r="F33" s="28" t="str">
        <x:v>Membuat struktur dokumentasi project</x:v>
      </x:c>
      <x:c r="G33" s="28" t="str">
        <x:v>Docs structure</x:v>
      </x:c>
      <x:c r="H33" s="28" t="str">
        <x:v>High</x:v>
      </x:c>
      <x:c r="I33" s="42" t="n">
        <x:f>INDEX('Sprint Plan'!$D$9:$D$20,MATCH(B33,'Sprint Plan'!$A$9:$A$20,0))</x:f>
        <x:v>46204</x:v>
      </x:c>
      <x:c r="J33" s="42" t="n">
        <x:f>INDEX('Sprint Plan'!$E$9:$E$20,MATCH(B33,'Sprint Plan'!$A$9:$A$20,0))</x:f>
        <x:v>46217</x:v>
      </x:c>
      <x:c r="K33" s="28" t="str">
        <x:v>TBD</x:v>
      </x:c>
      <x:c r="L33" s="28" t="str">
        <x:v>Not Started</x:v>
      </x:c>
      <x:c r="M33" s="43" t="n">
        <x:v>0</x:v>
      </x:c>
      <x:c r="N33" s="28" t="n">
        <x:v>1</x:v>
      </x:c>
      <x:c r="O33" s="28" t="str"/>
      <x:c r="P33" s="28" t="str"/>
      <x:c r="Q33" s="28" t="str"/>
      <x:c r="R33" s="28" t="str"/>
      <x:c r="S33" s="28" t="str">
        <x:v>Medium</x:v>
      </x:c>
      <x:c r="T33" s="28" t="str">
        <x:f>IF(L33="Done","Green",IF(L33="Blocked","Red",IF(TODAY()&gt;J33,"Red",IF(M33&gt;=0.6,"Yellow","Green"))))</x:f>
        <x:v>Green</x:v>
      </x:c>
      <x:c r="U33" s="28" t="str"/>
    </x:row>
    <x:row r="34">
      <x:c r="A34" s="28" t="str">
        <x:v>SV-00-0032</x:v>
      </x:c>
      <x:c r="B34" s="28" t="str">
        <x:v>Sprint 0</x:v>
      </x:c>
      <x:c r="C34" s="28" t="str">
        <x:v>Month 1</x:v>
      </x:c>
      <x:c r="D34" s="28" t="str">
        <x:v>Technical Writer</x:v>
      </x:c>
      <x:c r="E34" s="28" t="str">
        <x:v>SOP</x:v>
      </x:c>
      <x:c r="F34" s="28" t="str">
        <x:v>Membuat template SOP</x:v>
      </x:c>
      <x:c r="G34" s="28" t="str">
        <x:v>SOP template</x:v>
      </x:c>
      <x:c r="H34" s="28" t="str">
        <x:v>High</x:v>
      </x:c>
      <x:c r="I34" s="42" t="n">
        <x:f>INDEX('Sprint Plan'!$D$9:$D$20,MATCH(B34,'Sprint Plan'!$A$9:$A$20,0))</x:f>
        <x:v>46204</x:v>
      </x:c>
      <x:c r="J34" s="42" t="n">
        <x:f>INDEX('Sprint Plan'!$E$9:$E$20,MATCH(B34,'Sprint Plan'!$A$9:$A$20,0))</x:f>
        <x:v>46217</x:v>
      </x:c>
      <x:c r="K34" s="28" t="str">
        <x:v>TBD</x:v>
      </x:c>
      <x:c r="L34" s="28" t="str">
        <x:v>Not Started</x:v>
      </x:c>
      <x:c r="M34" s="43" t="n">
        <x:v>0</x:v>
      </x:c>
      <x:c r="N34" s="28" t="n">
        <x:v>1</x:v>
      </x:c>
      <x:c r="O34" s="28" t="str"/>
      <x:c r="P34" s="28" t="str"/>
      <x:c r="Q34" s="28" t="str"/>
      <x:c r="R34" s="28" t="str"/>
      <x:c r="S34" s="28" t="str">
        <x:v>Medium</x:v>
      </x:c>
      <x:c r="T34" s="28" t="str">
        <x:f>IF(L34="Done","Green",IF(L34="Blocked","Red",IF(TODAY()&gt;J34,"Red",IF(M34&gt;=0.6,"Yellow","Green"))))</x:f>
        <x:v>Green</x:v>
      </x:c>
      <x:c r="U34" s="28" t="str"/>
    </x:row>
    <x:row r="35">
      <x:c r="A35" s="28" t="str">
        <x:v>SV-00-0033</x:v>
      </x:c>
      <x:c r="B35" s="28" t="str">
        <x:v>Sprint 0</x:v>
      </x:c>
      <x:c r="C35" s="28" t="str">
        <x:v>Month 1</x:v>
      </x:c>
      <x:c r="D35" s="28" t="str">
        <x:v>Technical Writer</x:v>
      </x:c>
      <x:c r="E35" s="28" t="str">
        <x:v>UAT</x:v>
      </x:c>
      <x:c r="F35" s="28" t="str">
        <x:v>Membuat template UAT</x:v>
      </x:c>
      <x:c r="G35" s="28" t="str">
        <x:v>UAT template</x:v>
      </x:c>
      <x:c r="H35" s="28" t="str">
        <x:v>High</x:v>
      </x:c>
      <x:c r="I35" s="42" t="n">
        <x:f>INDEX('Sprint Plan'!$D$9:$D$20,MATCH(B35,'Sprint Plan'!$A$9:$A$20,0))</x:f>
        <x:v>46204</x:v>
      </x:c>
      <x:c r="J35" s="42" t="n">
        <x:f>INDEX('Sprint Plan'!$E$9:$E$20,MATCH(B35,'Sprint Plan'!$A$9:$A$20,0))</x:f>
        <x:v>46217</x:v>
      </x:c>
      <x:c r="K35" s="28" t="str">
        <x:v>TBD</x:v>
      </x:c>
      <x:c r="L35" s="28" t="str">
        <x:v>Not Started</x:v>
      </x:c>
      <x:c r="M35" s="43" t="n">
        <x:v>0</x:v>
      </x:c>
      <x:c r="N35" s="28" t="n">
        <x:v>1</x:v>
      </x:c>
      <x:c r="O35" s="28" t="str"/>
      <x:c r="P35" s="28" t="str"/>
      <x:c r="Q35" s="28" t="str"/>
      <x:c r="R35" s="28" t="str"/>
      <x:c r="S35" s="28" t="str">
        <x:v>Medium</x:v>
      </x:c>
      <x:c r="T35" s="28" t="str">
        <x:f>IF(L35="Done","Green",IF(L35="Blocked","Red",IF(TODAY()&gt;J35,"Red",IF(M35&gt;=0.6,"Yellow","Green"))))</x:f>
        <x:v>Green</x:v>
      </x:c>
      <x:c r="U35" s="28" t="str"/>
    </x:row>
    <x:row r="36">
      <x:c r="A36" s="28" t="str">
        <x:v>SV-00-0034</x:v>
      </x:c>
      <x:c r="B36" s="28" t="str">
        <x:v>Sprint 0</x:v>
      </x:c>
      <x:c r="C36" s="28" t="str">
        <x:v>Month 1</x:v>
      </x:c>
      <x:c r="D36" s="28" t="str">
        <x:v>Technical Writer</x:v>
      </x:c>
      <x:c r="E36" s="28" t="str">
        <x:v>BAST</x:v>
      </x:c>
      <x:c r="F36" s="28" t="str">
        <x:v>Membuat template BAST</x:v>
      </x:c>
      <x:c r="G36" s="28" t="str">
        <x:v>BAST template</x:v>
      </x:c>
      <x:c r="H36" s="28" t="str">
        <x:v>High</x:v>
      </x:c>
      <x:c r="I36" s="42" t="n">
        <x:f>INDEX('Sprint Plan'!$D$9:$D$20,MATCH(B36,'Sprint Plan'!$A$9:$A$20,0))</x:f>
        <x:v>46204</x:v>
      </x:c>
      <x:c r="J36" s="42" t="n">
        <x:f>INDEX('Sprint Plan'!$E$9:$E$20,MATCH(B36,'Sprint Plan'!$A$9:$A$20,0))</x:f>
        <x:v>46217</x:v>
      </x:c>
      <x:c r="K36" s="28" t="str">
        <x:v>TBD</x:v>
      </x:c>
      <x:c r="L36" s="28" t="str">
        <x:v>Not Started</x:v>
      </x:c>
      <x:c r="M36" s="43" t="n">
        <x:v>0</x:v>
      </x:c>
      <x:c r="N36" s="28" t="n">
        <x:v>1</x:v>
      </x:c>
      <x:c r="O36" s="28" t="str"/>
      <x:c r="P36" s="28" t="str"/>
      <x:c r="Q36" s="28" t="str"/>
      <x:c r="R36" s="28" t="str"/>
      <x:c r="S36" s="28" t="str">
        <x:v>Medium</x:v>
      </x:c>
      <x:c r="T36" s="28" t="str">
        <x:f>IF(L36="Done","Green",IF(L36="Blocked","Red",IF(TODAY()&gt;J36,"Red",IF(M36&gt;=0.6,"Yellow","Green"))))</x:f>
        <x:v>Green</x:v>
      </x:c>
      <x:c r="U36" s="28" t="str"/>
    </x:row>
    <x:row r="37">
      <x:c r="A37" s="28" t="str">
        <x:v>SV-00-0035</x:v>
      </x:c>
      <x:c r="B37" s="28" t="str">
        <x:v>Sprint 0</x:v>
      </x:c>
      <x:c r="C37" s="28" t="str">
        <x:v>Month 1</x:v>
      </x:c>
      <x:c r="D37" s="28" t="str">
        <x:v>Technical Writer</x:v>
      </x:c>
      <x:c r="E37" s="28" t="str">
        <x:v>Glossary</x:v>
      </x:c>
      <x:c r="F37" s="28" t="str">
        <x:v>Membuat glossary teknis awal</x:v>
      </x:c>
      <x:c r="G37" s="28" t="str">
        <x:v>Glossary</x:v>
      </x:c>
      <x:c r="H37" s="28" t="str">
        <x:v>High</x:v>
      </x:c>
      <x:c r="I37" s="42" t="n">
        <x:f>INDEX('Sprint Plan'!$D$9:$D$20,MATCH(B37,'Sprint Plan'!$A$9:$A$20,0))</x:f>
        <x:v>46204</x:v>
      </x:c>
      <x:c r="J37" s="42" t="n">
        <x:f>INDEX('Sprint Plan'!$E$9:$E$20,MATCH(B37,'Sprint Plan'!$A$9:$A$20,0))</x:f>
        <x:v>46217</x:v>
      </x:c>
      <x:c r="K37" s="28" t="str">
        <x:v>TBD</x:v>
      </x:c>
      <x:c r="L37" s="28" t="str">
        <x:v>Not Started</x:v>
      </x:c>
      <x:c r="M37" s="43" t="n">
        <x:v>0</x:v>
      </x:c>
      <x:c r="N37" s="28" t="n">
        <x:v>1</x:v>
      </x:c>
      <x:c r="O37" s="28" t="str"/>
      <x:c r="P37" s="28" t="str"/>
      <x:c r="Q37" s="28" t="str"/>
      <x:c r="R37" s="28" t="str"/>
      <x:c r="S37" s="28" t="str">
        <x:v>Medium</x:v>
      </x:c>
      <x:c r="T37" s="28" t="str">
        <x:f>IF(L37="Done","Green",IF(L37="Blocked","Red",IF(TODAY()&gt;J37,"Red",IF(M37&gt;=0.6,"Yellow","Green"))))</x:f>
        <x:v>Green</x:v>
      </x:c>
      <x:c r="U37" s="28" t="str"/>
    </x:row>
    <x:row r="38">
      <x:c r="A38" s="28" t="str">
        <x:v>SV-00-0036</x:v>
      </x:c>
      <x:c r="B38" s="28" t="str">
        <x:v>Sprint 0</x:v>
      </x:c>
      <x:c r="C38" s="28" t="str">
        <x:v>Month 1</x:v>
      </x:c>
      <x:c r="D38" s="28" t="str">
        <x:v>Sales/Marketing/Presales</x:v>
      </x:c>
      <x:c r="E38" s="28" t="str">
        <x:v>Market</x:v>
      </x:c>
      <x:c r="F38" s="28" t="str">
        <x:v>Finalisasi narasi masalah pasar</x:v>
      </x:c>
      <x:c r="G38" s="28" t="str">
        <x:v>Market problem statement</x:v>
      </x:c>
      <x:c r="H38" s="28" t="str">
        <x:v>High</x:v>
      </x:c>
      <x:c r="I38" s="42" t="n">
        <x:f>INDEX('Sprint Plan'!$D$9:$D$20,MATCH(B38,'Sprint Plan'!$A$9:$A$20,0))</x:f>
        <x:v>46204</x:v>
      </x:c>
      <x:c r="J38" s="42" t="n">
        <x:f>INDEX('Sprint Plan'!$E$9:$E$20,MATCH(B38,'Sprint Plan'!$A$9:$A$20,0))</x:f>
        <x:v>46217</x:v>
      </x:c>
      <x:c r="K38" s="28" t="str">
        <x:v>TBD</x:v>
      </x:c>
      <x:c r="L38" s="28" t="str">
        <x:v>Not Started</x:v>
      </x:c>
      <x:c r="M38" s="43" t="n">
        <x:v>0</x:v>
      </x:c>
      <x:c r="N38" s="28" t="n">
        <x:v>1</x:v>
      </x:c>
      <x:c r="O38" s="28" t="str"/>
      <x:c r="P38" s="28" t="str"/>
      <x:c r="Q38" s="28" t="str"/>
      <x:c r="R38" s="28" t="str"/>
      <x:c r="S38" s="28" t="str">
        <x:v>Medium</x:v>
      </x:c>
      <x:c r="T38" s="28" t="str">
        <x:f>IF(L38="Done","Green",IF(L38="Blocked","Red",IF(TODAY()&gt;J38,"Red",IF(M38&gt;=0.6,"Yellow","Green"))))</x:f>
        <x:v>Green</x:v>
      </x:c>
      <x:c r="U38" s="28" t="str"/>
    </x:row>
    <x:row r="39">
      <x:c r="A39" s="28" t="str">
        <x:v>SV-00-0037</x:v>
      </x:c>
      <x:c r="B39" s="28" t="str">
        <x:v>Sprint 0</x:v>
      </x:c>
      <x:c r="C39" s="28" t="str">
        <x:v>Month 1</x:v>
      </x:c>
      <x:c r="D39" s="28" t="str">
        <x:v>Sales/Marketing/Presales</x:v>
      </x:c>
      <x:c r="E39" s="28" t="str">
        <x:v>ICP</x:v>
      </x:c>
      <x:c r="F39" s="28" t="str">
        <x:v>Membuat ideal customer profile</x:v>
      </x:c>
      <x:c r="G39" s="28" t="str">
        <x:v>ICP</x:v>
      </x:c>
      <x:c r="H39" s="28" t="str">
        <x:v>High</x:v>
      </x:c>
      <x:c r="I39" s="42" t="n">
        <x:f>INDEX('Sprint Plan'!$D$9:$D$20,MATCH(B39,'Sprint Plan'!$A$9:$A$20,0))</x:f>
        <x:v>46204</x:v>
      </x:c>
      <x:c r="J39" s="42" t="n">
        <x:f>INDEX('Sprint Plan'!$E$9:$E$20,MATCH(B39,'Sprint Plan'!$A$9:$A$20,0))</x:f>
        <x:v>46217</x:v>
      </x:c>
      <x:c r="K39" s="28" t="str">
        <x:v>TBD</x:v>
      </x:c>
      <x:c r="L39" s="28" t="str">
        <x:v>Not Started</x:v>
      </x:c>
      <x:c r="M39" s="43" t="n">
        <x:v>0</x:v>
      </x:c>
      <x:c r="N39" s="28" t="n">
        <x:v>1</x:v>
      </x:c>
      <x:c r="O39" s="28" t="str"/>
      <x:c r="P39" s="28" t="str"/>
      <x:c r="Q39" s="28" t="str"/>
      <x:c r="R39" s="28" t="str"/>
      <x:c r="S39" s="28" t="str">
        <x:v>Medium</x:v>
      </x:c>
      <x:c r="T39" s="28" t="str">
        <x:f>IF(L39="Done","Green",IF(L39="Blocked","Red",IF(TODAY()&gt;J39,"Red",IF(M39&gt;=0.6,"Yellow","Green"))))</x:f>
        <x:v>Green</x:v>
      </x:c>
      <x:c r="U39" s="28" t="str"/>
    </x:row>
    <x:row r="40">
      <x:c r="A40" s="28" t="str">
        <x:v>SV-00-0038</x:v>
      </x:c>
      <x:c r="B40" s="28" t="str">
        <x:v>Sprint 0</x:v>
      </x:c>
      <x:c r="C40" s="28" t="str">
        <x:v>Month 1</x:v>
      </x:c>
      <x:c r="D40" s="28" t="str">
        <x:v>Sales/Marketing/Presales</x:v>
      </x:c>
      <x:c r="E40" s="28" t="str">
        <x:v>Competitor</x:v>
      </x:c>
      <x:c r="F40" s="28" t="str">
        <x:v>Membuat competitor snapshot Proxmox/Awanio/VMware</x:v>
      </x:c>
      <x:c r="G40" s="28" t="str">
        <x:v>Competitor snapshot</x:v>
      </x:c>
      <x:c r="H40" s="28" t="str">
        <x:v>High</x:v>
      </x:c>
      <x:c r="I40" s="42" t="n">
        <x:f>INDEX('Sprint Plan'!$D$9:$D$20,MATCH(B40,'Sprint Plan'!$A$9:$A$20,0))</x:f>
        <x:v>46204</x:v>
      </x:c>
      <x:c r="J40" s="42" t="n">
        <x:f>INDEX('Sprint Plan'!$E$9:$E$20,MATCH(B40,'Sprint Plan'!$A$9:$A$20,0))</x:f>
        <x:v>46217</x:v>
      </x:c>
      <x:c r="K40" s="28" t="str">
        <x:v>TBD</x:v>
      </x:c>
      <x:c r="L40" s="28" t="str">
        <x:v>Not Started</x:v>
      </x:c>
      <x:c r="M40" s="43" t="n">
        <x:v>0</x:v>
      </x:c>
      <x:c r="N40" s="28" t="n">
        <x:v>1</x:v>
      </x:c>
      <x:c r="O40" s="28" t="str"/>
      <x:c r="P40" s="28" t="str"/>
      <x:c r="Q40" s="28" t="str"/>
      <x:c r="R40" s="28" t="str"/>
      <x:c r="S40" s="28" t="str">
        <x:v>Medium</x:v>
      </x:c>
      <x:c r="T40" s="28" t="str">
        <x:f>IF(L40="Done","Green",IF(L40="Blocked","Red",IF(TODAY()&gt;J40,"Red",IF(M40&gt;=0.6,"Yellow","Green"))))</x:f>
        <x:v>Green</x:v>
      </x:c>
      <x:c r="U40" s="28" t="str"/>
    </x:row>
    <x:row r="41">
      <x:c r="A41" s="28" t="str">
        <x:v>SV-00-0039</x:v>
      </x:c>
      <x:c r="B41" s="28" t="str">
        <x:v>Sprint 0</x:v>
      </x:c>
      <x:c r="C41" s="28" t="str">
        <x:v>Month 1</x:v>
      </x:c>
      <x:c r="D41" s="28" t="str">
        <x:v>Sales/Marketing/Presales</x:v>
      </x:c>
      <x:c r="E41" s="28" t="str">
        <x:v>Pitch</x:v>
      </x:c>
      <x:c r="F41" s="28" t="str">
        <x:v>Membuat pitch one-liner dan value proposition</x:v>
      </x:c>
      <x:c r="G41" s="28" t="str">
        <x:v>Sales one-liner</x:v>
      </x:c>
      <x:c r="H41" s="28" t="str">
        <x:v>High</x:v>
      </x:c>
      <x:c r="I41" s="42" t="n">
        <x:f>INDEX('Sprint Plan'!$D$9:$D$20,MATCH(B41,'Sprint Plan'!$A$9:$A$20,0))</x:f>
        <x:v>46204</x:v>
      </x:c>
      <x:c r="J41" s="42" t="n">
        <x:f>INDEX('Sprint Plan'!$E$9:$E$20,MATCH(B41,'Sprint Plan'!$A$9:$A$20,0))</x:f>
        <x:v>46217</x:v>
      </x:c>
      <x:c r="K41" s="28" t="str">
        <x:v>TBD</x:v>
      </x:c>
      <x:c r="L41" s="28" t="str">
        <x:v>Not Started</x:v>
      </x:c>
      <x:c r="M41" s="43" t="n">
        <x:v>0</x:v>
      </x:c>
      <x:c r="N41" s="28" t="n">
        <x:v>1</x:v>
      </x:c>
      <x:c r="O41" s="28" t="str"/>
      <x:c r="P41" s="28" t="str"/>
      <x:c r="Q41" s="28" t="str"/>
      <x:c r="R41" s="28" t="str"/>
      <x:c r="S41" s="28" t="str">
        <x:v>Medium</x:v>
      </x:c>
      <x:c r="T41" s="28" t="str">
        <x:f>IF(L41="Done","Green",IF(L41="Blocked","Red",IF(TODAY()&gt;J41,"Red",IF(M41&gt;=0.6,"Yellow","Green"))))</x:f>
        <x:v>Green</x:v>
      </x:c>
      <x:c r="U41" s="28" t="str"/>
    </x:row>
    <x:row r="42">
      <x:c r="A42" s="28" t="str">
        <x:v>SV-00-0040</x:v>
      </x:c>
      <x:c r="B42" s="28" t="str">
        <x:v>Sprint 0</x:v>
      </x:c>
      <x:c r="C42" s="28" t="str">
        <x:v>Month 1</x:v>
      </x:c>
      <x:c r="D42" s="28" t="str">
        <x:v>Sales/Marketing/Presales</x:v>
      </x:c>
      <x:c r="E42" s="28" t="str">
        <x:v>Pilot</x:v>
      </x:c>
      <x:c r="F42" s="28" t="str">
        <x:v>Membuat target list 10–20 calon pilot</x:v>
      </x:c>
      <x:c r="G42" s="28" t="str">
        <x:v>Pilot target list</x:v>
      </x:c>
      <x:c r="H42" s="28" t="str">
        <x:v>High</x:v>
      </x:c>
      <x:c r="I42" s="42" t="n">
        <x:f>INDEX('Sprint Plan'!$D$9:$D$20,MATCH(B42,'Sprint Plan'!$A$9:$A$20,0))</x:f>
        <x:v>46204</x:v>
      </x:c>
      <x:c r="J42" s="42" t="n">
        <x:f>INDEX('Sprint Plan'!$E$9:$E$20,MATCH(B42,'Sprint Plan'!$A$9:$A$20,0))</x:f>
        <x:v>46217</x:v>
      </x:c>
      <x:c r="K42" s="28" t="str">
        <x:v>TBD</x:v>
      </x:c>
      <x:c r="L42" s="28" t="str">
        <x:v>Not Started</x:v>
      </x:c>
      <x:c r="M42" s="43" t="n">
        <x:v>0</x:v>
      </x:c>
      <x:c r="N42" s="28" t="n">
        <x:v>1</x:v>
      </x:c>
      <x:c r="O42" s="28" t="str"/>
      <x:c r="P42" s="28" t="str"/>
      <x:c r="Q42" s="28" t="str"/>
      <x:c r="R42" s="28" t="str"/>
      <x:c r="S42" s="28" t="str">
        <x:v>Medium</x:v>
      </x:c>
      <x:c r="T42" s="28" t="str">
        <x:f>IF(L42="Done","Green",IF(L42="Blocked","Red",IF(TODAY()&gt;J42,"Red",IF(M42&gt;=0.6,"Yellow","Green"))))</x:f>
        <x:v>Green</x:v>
      </x:c>
      <x:c r="U42" s="28" t="str"/>
    </x:row>
    <x:row r="43">
      <x:c r="A43" s="28" t="str">
        <x:v>SV-01-0041</x:v>
      </x:c>
      <x:c r="B43" s="28" t="str">
        <x:v>Sprint 1</x:v>
      </x:c>
      <x:c r="C43" s="28" t="str">
        <x:v>Month 1</x:v>
      </x:c>
      <x:c r="D43" s="28" t="str">
        <x:v>Product Owner</x:v>
      </x:c>
      <x:c r="E43" s="28" t="str">
        <x:v>Feature Mapping</x:v>
      </x:c>
      <x:c r="F43" s="28" t="str">
        <x:v>Validasi fitur OpenNebula yang dipakai untuk POC</x:v>
      </x:c>
      <x:c r="G43" s="28" t="str">
        <x:v>Feature mapping</x:v>
      </x:c>
      <x:c r="H43" s="28" t="str">
        <x:v>Critical</x:v>
      </x:c>
      <x:c r="I43" s="42" t="n">
        <x:f>INDEX('Sprint Plan'!$D$9:$D$20,MATCH(B43,'Sprint Plan'!$A$9:$A$20,0))</x:f>
        <x:v>46218</x:v>
      </x:c>
      <x:c r="J43" s="42" t="n">
        <x:f>INDEX('Sprint Plan'!$E$9:$E$20,MATCH(B43,'Sprint Plan'!$A$9:$A$20,0))</x:f>
        <x:v>46231</x:v>
      </x:c>
      <x:c r="K43" s="28" t="str">
        <x:v>TBD</x:v>
      </x:c>
      <x:c r="L43" s="28" t="str">
        <x:v>Not Started</x:v>
      </x:c>
      <x:c r="M43" s="43" t="n">
        <x:v>0</x:v>
      </x:c>
      <x:c r="N43" s="28" t="n">
        <x:v>1</x:v>
      </x:c>
      <x:c r="O43" s="28" t="str"/>
      <x:c r="P43" s="28" t="str"/>
      <x:c r="Q43" s="28" t="str"/>
      <x:c r="R43" s="28" t="str"/>
      <x:c r="S43" s="28" t="str">
        <x:v>High</x:v>
      </x:c>
      <x:c r="T43" s="28" t="str">
        <x:f>IF(L43="Done","Green",IF(L43="Blocked","Red",IF(TODAY()&gt;J43,"Red",IF(M43&gt;=0.6,"Yellow","Green"))))</x:f>
        <x:v>Green</x:v>
      </x:c>
      <x:c r="U43" s="28" t="str"/>
    </x:row>
    <x:row r="44">
      <x:c r="A44" s="28" t="str">
        <x:v>SV-01-0042</x:v>
      </x:c>
      <x:c r="B44" s="28" t="str">
        <x:v>Sprint 1</x:v>
      </x:c>
      <x:c r="C44" s="28" t="str">
        <x:v>Month 1</x:v>
      </x:c>
      <x:c r="D44" s="28" t="str">
        <x:v>Product Owner</x:v>
      </x:c>
      <x:c r="E44" s="28" t="str">
        <x:v>Mapping</x:v>
      </x:c>
      <x:c r="F44" s="28" t="str">
        <x:v>Mapping fitur OpenNebula ke fitur Saft VE</x:v>
      </x:c>
      <x:c r="G44" s="28" t="str">
        <x:v>Product-engine mapping</x:v>
      </x:c>
      <x:c r="H44" s="28" t="str">
        <x:v>Critical</x:v>
      </x:c>
      <x:c r="I44" s="42" t="n">
        <x:f>INDEX('Sprint Plan'!$D$9:$D$20,MATCH(B44,'Sprint Plan'!$A$9:$A$20,0))</x:f>
        <x:v>46218</x:v>
      </x:c>
      <x:c r="J44" s="42" t="n">
        <x:f>INDEX('Sprint Plan'!$E$9:$E$20,MATCH(B44,'Sprint Plan'!$A$9:$A$20,0))</x:f>
        <x:v>46231</x:v>
      </x:c>
      <x:c r="K44" s="28" t="str">
        <x:v>TBD</x:v>
      </x:c>
      <x:c r="L44" s="28" t="str">
        <x:v>Not Started</x:v>
      </x:c>
      <x:c r="M44" s="43" t="n">
        <x:v>0</x:v>
      </x:c>
      <x:c r="N44" s="28" t="n">
        <x:v>1</x:v>
      </x:c>
      <x:c r="O44" s="28" t="str"/>
      <x:c r="P44" s="28" t="str"/>
      <x:c r="Q44" s="28" t="str"/>
      <x:c r="R44" s="28" t="str"/>
      <x:c r="S44" s="28" t="str">
        <x:v>High</x:v>
      </x:c>
      <x:c r="T44" s="28" t="str">
        <x:f>IF(L44="Done","Green",IF(L44="Blocked","Red",IF(TODAY()&gt;J44,"Red",IF(M44&gt;=0.6,"Yellow","Green"))))</x:f>
        <x:v>Green</x:v>
      </x:c>
      <x:c r="U44" s="28" t="str"/>
    </x:row>
    <x:row r="45">
      <x:c r="A45" s="28" t="str">
        <x:v>SV-01-0043</x:v>
      </x:c>
      <x:c r="B45" s="28" t="str">
        <x:v>Sprint 1</x:v>
      </x:c>
      <x:c r="C45" s="28" t="str">
        <x:v>Month 1</x:v>
      </x:c>
      <x:c r="D45" s="28" t="str">
        <x:v>Product Owner</x:v>
      </x:c>
      <x:c r="E45" s="28" t="str">
        <x:v>Journey</x:v>
      </x:c>
      <x:c r="F45" s="28" t="str">
        <x:v>Definisikan user journey create VM</x:v>
      </x:c>
      <x:c r="G45" s="28" t="str">
        <x:v>User journey</x:v>
      </x:c>
      <x:c r="H45" s="28" t="str">
        <x:v>Critical</x:v>
      </x:c>
      <x:c r="I45" s="42" t="n">
        <x:f>INDEX('Sprint Plan'!$D$9:$D$20,MATCH(B45,'Sprint Plan'!$A$9:$A$20,0))</x:f>
        <x:v>46218</x:v>
      </x:c>
      <x:c r="J45" s="42" t="n">
        <x:f>INDEX('Sprint Plan'!$E$9:$E$20,MATCH(B45,'Sprint Plan'!$A$9:$A$20,0))</x:f>
        <x:v>46231</x:v>
      </x:c>
      <x:c r="K45" s="28" t="str">
        <x:v>TBD</x:v>
      </x:c>
      <x:c r="L45" s="28" t="str">
        <x:v>Not Started</x:v>
      </x:c>
      <x:c r="M45" s="43" t="n">
        <x:v>0</x:v>
      </x:c>
      <x:c r="N45" s="28" t="n">
        <x:v>1</x:v>
      </x:c>
      <x:c r="O45" s="28" t="str"/>
      <x:c r="P45" s="28" t="str"/>
      <x:c r="Q45" s="28" t="str"/>
      <x:c r="R45" s="28" t="str"/>
      <x:c r="S45" s="28" t="str">
        <x:v>High</x:v>
      </x:c>
      <x:c r="T45" s="28" t="str">
        <x:f>IF(L45="Done","Green",IF(L45="Blocked","Red",IF(TODAY()&gt;J45,"Red",IF(M45&gt;=0.6,"Yellow","Green"))))</x:f>
        <x:v>Green</x:v>
      </x:c>
      <x:c r="U45" s="28" t="str"/>
    </x:row>
    <x:row r="46">
      <x:c r="A46" s="28" t="str">
        <x:v>SV-01-0044</x:v>
      </x:c>
      <x:c r="B46" s="28" t="str">
        <x:v>Sprint 1</x:v>
      </x:c>
      <x:c r="C46" s="28" t="str">
        <x:v>Month 1</x:v>
      </x:c>
      <x:c r="D46" s="28" t="str">
        <x:v>Product Owner</x:v>
      </x:c>
      <x:c r="E46" s="28" t="str">
        <x:v>Role</x:v>
      </x:c>
      <x:c r="F46" s="28" t="str">
        <x:v>Definisikan role awal admin/operator/viewer</x:v>
      </x:c>
      <x:c r="G46" s="28" t="str">
        <x:v>Role matrix</x:v>
      </x:c>
      <x:c r="H46" s="28" t="str">
        <x:v>Critical</x:v>
      </x:c>
      <x:c r="I46" s="42" t="n">
        <x:f>INDEX('Sprint Plan'!$D$9:$D$20,MATCH(B46,'Sprint Plan'!$A$9:$A$20,0))</x:f>
        <x:v>46218</x:v>
      </x:c>
      <x:c r="J46" s="42" t="n">
        <x:f>INDEX('Sprint Plan'!$E$9:$E$20,MATCH(B46,'Sprint Plan'!$A$9:$A$20,0))</x:f>
        <x:v>46231</x:v>
      </x:c>
      <x:c r="K46" s="28" t="str">
        <x:v>TBD</x:v>
      </x:c>
      <x:c r="L46" s="28" t="str">
        <x:v>Not Started</x:v>
      </x:c>
      <x:c r="M46" s="43" t="n">
        <x:v>0</x:v>
      </x:c>
      <x:c r="N46" s="28" t="n">
        <x:v>1</x:v>
      </x:c>
      <x:c r="O46" s="28" t="str"/>
      <x:c r="P46" s="28" t="str"/>
      <x:c r="Q46" s="28" t="str"/>
      <x:c r="R46" s="28" t="str"/>
      <x:c r="S46" s="28" t="str">
        <x:v>High</x:v>
      </x:c>
      <x:c r="T46" s="28" t="str">
        <x:f>IF(L46="Done","Green",IF(L46="Blocked","Red",IF(TODAY()&gt;J46,"Red",IF(M46&gt;=0.6,"Yellow","Green"))))</x:f>
        <x:v>Green</x:v>
      </x:c>
      <x:c r="U46" s="28" t="str"/>
    </x:row>
    <x:row r="47">
      <x:c r="A47" s="28" t="str">
        <x:v>SV-01-0045</x:v>
      </x:c>
      <x:c r="B47" s="28" t="str">
        <x:v>Sprint 1</x:v>
      </x:c>
      <x:c r="C47" s="28" t="str">
        <x:v>Month 1</x:v>
      </x:c>
      <x:c r="D47" s="28" t="str">
        <x:v>Solution Architect</x:v>
      </x:c>
      <x:c r="E47" s="28" t="str">
        <x:v>Architecture</x:v>
      </x:c>
      <x:c r="F47" s="28" t="str">
        <x:v>Finalisasi architecture controller + compute host</x:v>
      </x:c>
      <x:c r="G47" s="28" t="str">
        <x:v>Architecture v1</x:v>
      </x:c>
      <x:c r="H47" s="28" t="str">
        <x:v>Critical</x:v>
      </x:c>
      <x:c r="I47" s="42" t="n">
        <x:f>INDEX('Sprint Plan'!$D$9:$D$20,MATCH(B47,'Sprint Plan'!$A$9:$A$20,0))</x:f>
        <x:v>46218</x:v>
      </x:c>
      <x:c r="J47" s="42" t="n">
        <x:f>INDEX('Sprint Plan'!$E$9:$E$20,MATCH(B47,'Sprint Plan'!$A$9:$A$20,0))</x:f>
        <x:v>46231</x:v>
      </x:c>
      <x:c r="K47" s="28" t="str">
        <x:v>TBD</x:v>
      </x:c>
      <x:c r="L47" s="28" t="str">
        <x:v>Not Started</x:v>
      </x:c>
      <x:c r="M47" s="43" t="n">
        <x:v>0</x:v>
      </x:c>
      <x:c r="N47" s="28" t="n">
        <x:v>1</x:v>
      </x:c>
      <x:c r="O47" s="28" t="str"/>
      <x:c r="P47" s="28" t="str"/>
      <x:c r="Q47" s="28" t="str"/>
      <x:c r="R47" s="28" t="str"/>
      <x:c r="S47" s="28" t="str">
        <x:v>High</x:v>
      </x:c>
      <x:c r="T47" s="28" t="str">
        <x:f>IF(L47="Done","Green",IF(L47="Blocked","Red",IF(TODAY()&gt;J47,"Red",IF(M47&gt;=0.6,"Yellow","Green"))))</x:f>
        <x:v>Green</x:v>
      </x:c>
      <x:c r="U47" s="28" t="str"/>
    </x:row>
    <x:row r="48">
      <x:c r="A48" s="28" t="str">
        <x:v>SV-01-0046</x:v>
      </x:c>
      <x:c r="B48" s="28" t="str">
        <x:v>Sprint 1</x:v>
      </x:c>
      <x:c r="C48" s="28" t="str">
        <x:v>Month 1</x:v>
      </x:c>
      <x:c r="D48" s="28" t="str">
        <x:v>Solution Architect</x:v>
      </x:c>
      <x:c r="E48" s="28" t="str">
        <x:v>Integration</x:v>
      </x:c>
      <x:c r="F48" s="28" t="str">
        <x:v>Finalisasi API integration approach</x:v>
      </x:c>
      <x:c r="G48" s="28" t="str">
        <x:v>Adapter spec v1</x:v>
      </x:c>
      <x:c r="H48" s="28" t="str">
        <x:v>Critical</x:v>
      </x:c>
      <x:c r="I48" s="42" t="n">
        <x:f>INDEX('Sprint Plan'!$D$9:$D$20,MATCH(B48,'Sprint Plan'!$A$9:$A$20,0))</x:f>
        <x:v>46218</x:v>
      </x:c>
      <x:c r="J48" s="42" t="n">
        <x:f>INDEX('Sprint Plan'!$E$9:$E$20,MATCH(B48,'Sprint Plan'!$A$9:$A$20,0))</x:f>
        <x:v>46231</x:v>
      </x:c>
      <x:c r="K48" s="28" t="str">
        <x:v>TBD</x:v>
      </x:c>
      <x:c r="L48" s="28" t="str">
        <x:v>Not Started</x:v>
      </x:c>
      <x:c r="M48" s="43" t="n">
        <x:v>0</x:v>
      </x:c>
      <x:c r="N48" s="28" t="n">
        <x:v>1</x:v>
      </x:c>
      <x:c r="O48" s="28" t="str"/>
      <x:c r="P48" s="28" t="str"/>
      <x:c r="Q48" s="28" t="str"/>
      <x:c r="R48" s="28" t="str"/>
      <x:c r="S48" s="28" t="str">
        <x:v>High</x:v>
      </x:c>
      <x:c r="T48" s="28" t="str">
        <x:f>IF(L48="Done","Green",IF(L48="Blocked","Red",IF(TODAY()&gt;J48,"Red",IF(M48&gt;=0.6,"Yellow","Green"))))</x:f>
        <x:v>Green</x:v>
      </x:c>
      <x:c r="U48" s="28" t="str"/>
    </x:row>
    <x:row r="49">
      <x:c r="A49" s="28" t="str">
        <x:v>SV-01-0047</x:v>
      </x:c>
      <x:c r="B49" s="28" t="str">
        <x:v>Sprint 1</x:v>
      </x:c>
      <x:c r="C49" s="28" t="str">
        <x:v>Month 1</x:v>
      </x:c>
      <x:c r="D49" s="28" t="str">
        <x:v>Solution Architect</x:v>
      </x:c>
      <x:c r="E49" s="28" t="str">
        <x:v>Security</x:v>
      </x:c>
      <x:c r="F49" s="28" t="str">
        <x:v>Finalisasi service account security approach</x:v>
      </x:c>
      <x:c r="G49" s="28" t="str">
        <x:v>Security design</x:v>
      </x:c>
      <x:c r="H49" s="28" t="str">
        <x:v>Critical</x:v>
      </x:c>
      <x:c r="I49" s="42" t="n">
        <x:f>INDEX('Sprint Plan'!$D$9:$D$20,MATCH(B49,'Sprint Plan'!$A$9:$A$20,0))</x:f>
        <x:v>46218</x:v>
      </x:c>
      <x:c r="J49" s="42" t="n">
        <x:f>INDEX('Sprint Plan'!$E$9:$E$20,MATCH(B49,'Sprint Plan'!$A$9:$A$20,0))</x:f>
        <x:v>46231</x:v>
      </x:c>
      <x:c r="K49" s="28" t="str">
        <x:v>TBD</x:v>
      </x:c>
      <x:c r="L49" s="28" t="str">
        <x:v>Not Started</x:v>
      </x:c>
      <x:c r="M49" s="43" t="n">
        <x:v>0</x:v>
      </x:c>
      <x:c r="N49" s="28" t="n">
        <x:v>1</x:v>
      </x:c>
      <x:c r="O49" s="28" t="str"/>
      <x:c r="P49" s="28" t="str"/>
      <x:c r="Q49" s="28" t="str"/>
      <x:c r="R49" s="28" t="str"/>
      <x:c r="S49" s="28" t="str">
        <x:v>High</x:v>
      </x:c>
      <x:c r="T49" s="28" t="str">
        <x:f>IF(L49="Done","Green",IF(L49="Blocked","Red",IF(TODAY()&gt;J49,"Red",IF(M49&gt;=0.6,"Yellow","Green"))))</x:f>
        <x:v>Green</x:v>
      </x:c>
      <x:c r="U49" s="28" t="str"/>
    </x:row>
    <x:row r="50">
      <x:c r="A50" s="28" t="str">
        <x:v>SV-01-0048</x:v>
      </x:c>
      <x:c r="B50" s="28" t="str">
        <x:v>Sprint 1</x:v>
      </x:c>
      <x:c r="C50" s="28" t="str">
        <x:v>Month 1</x:v>
      </x:c>
      <x:c r="D50" s="28" t="str">
        <x:v>Solution Architect</x:v>
      </x:c>
      <x:c r="E50" s="28" t="str">
        <x:v>Sequence</x:v>
      </x:c>
      <x:c r="F50" s="28" t="str">
        <x:v>Buat sequence diagram create VM</x:v>
      </x:c>
      <x:c r="G50" s="28" t="str">
        <x:v>Sequence diagram</x:v>
      </x:c>
      <x:c r="H50" s="28" t="str">
        <x:v>Critical</x:v>
      </x:c>
      <x:c r="I50" s="42" t="n">
        <x:f>INDEX('Sprint Plan'!$D$9:$D$20,MATCH(B50,'Sprint Plan'!$A$9:$A$20,0))</x:f>
        <x:v>46218</x:v>
      </x:c>
      <x:c r="J50" s="42" t="n">
        <x:f>INDEX('Sprint Plan'!$E$9:$E$20,MATCH(B50,'Sprint Plan'!$A$9:$A$20,0))</x:f>
        <x:v>46231</x:v>
      </x:c>
      <x:c r="K50" s="28" t="str">
        <x:v>TBD</x:v>
      </x:c>
      <x:c r="L50" s="28" t="str">
        <x:v>Not Started</x:v>
      </x:c>
      <x:c r="M50" s="43" t="n">
        <x:v>0</x:v>
      </x:c>
      <x:c r="N50" s="28" t="n">
        <x:v>1</x:v>
      </x:c>
      <x:c r="O50" s="28" t="str"/>
      <x:c r="P50" s="28" t="str"/>
      <x:c r="Q50" s="28" t="str"/>
      <x:c r="R50" s="28" t="str"/>
      <x:c r="S50" s="28" t="str">
        <x:v>High</x:v>
      </x:c>
      <x:c r="T50" s="28" t="str">
        <x:f>IF(L50="Done","Green",IF(L50="Blocked","Red",IF(TODAY()&gt;J50,"Red",IF(M50&gt;=0.6,"Yellow","Green"))))</x:f>
        <x:v>Green</x:v>
      </x:c>
      <x:c r="U50" s="28" t="str"/>
    </x:row>
    <x:row r="51">
      <x:c r="A51" s="28" t="str">
        <x:v>SV-01-0049</x:v>
      </x:c>
      <x:c r="B51" s="28" t="str">
        <x:v>Sprint 1</x:v>
      </x:c>
      <x:c r="C51" s="28" t="str">
        <x:v>Month 1</x:v>
      </x:c>
      <x:c r="D51" s="28" t="str">
        <x:v>Solution Architect</x:v>
      </x:c>
      <x:c r="E51" s="28" t="str">
        <x:v>TDR</x:v>
      </x:c>
      <x:c r="F51" s="28" t="str">
        <x:v>Buat technical decision record TDR-001</x:v>
      </x:c>
      <x:c r="G51" s="28" t="str">
        <x:v>TDR-001</x:v>
      </x:c>
      <x:c r="H51" s="28" t="str">
        <x:v>Critical</x:v>
      </x:c>
      <x:c r="I51" s="42" t="n">
        <x:f>INDEX('Sprint Plan'!$D$9:$D$20,MATCH(B51,'Sprint Plan'!$A$9:$A$20,0))</x:f>
        <x:v>46218</x:v>
      </x:c>
      <x:c r="J51" s="42" t="n">
        <x:f>INDEX('Sprint Plan'!$E$9:$E$20,MATCH(B51,'Sprint Plan'!$A$9:$A$20,0))</x:f>
        <x:v>46231</x:v>
      </x:c>
      <x:c r="K51" s="28" t="str">
        <x:v>TBD</x:v>
      </x:c>
      <x:c r="L51" s="28" t="str">
        <x:v>Not Started</x:v>
      </x:c>
      <x:c r="M51" s="43" t="n">
        <x:v>0</x:v>
      </x:c>
      <x:c r="N51" s="28" t="n">
        <x:v>1</x:v>
      </x:c>
      <x:c r="O51" s="28" t="str"/>
      <x:c r="P51" s="28" t="str"/>
      <x:c r="Q51" s="28" t="str"/>
      <x:c r="R51" s="28" t="str"/>
      <x:c r="S51" s="28" t="str">
        <x:v>High</x:v>
      </x:c>
      <x:c r="T51" s="28" t="str">
        <x:f>IF(L51="Done","Green",IF(L51="Blocked","Red",IF(TODAY()&gt;J51,"Red",IF(M51&gt;=0.6,"Yellow","Green"))))</x:f>
        <x:v>Green</x:v>
      </x:c>
      <x:c r="U51" s="28" t="str"/>
    </x:row>
    <x:row r="52">
      <x:c r="A52" s="28" t="str">
        <x:v>SV-01-0050</x:v>
      </x:c>
      <x:c r="B52" s="28" t="str">
        <x:v>Sprint 1</x:v>
      </x:c>
      <x:c r="C52" s="28" t="str">
        <x:v>Month 1</x:v>
      </x:c>
      <x:c r="D52" s="28" t="str">
        <x:v>Infra/OpenNebula Engineer</x:v>
      </x:c>
      <x:c r="E52" s="28" t="str">
        <x:v>Controller</x:v>
      </x:c>
      <x:c r="F52" s="28" t="str">
        <x:v>Install controller node OpenNebula frontend</x:v>
      </x:c>
      <x:c r="G52" s="28" t="str">
        <x:v>OpenNebula frontend running</x:v>
      </x:c>
      <x:c r="H52" s="28" t="str">
        <x:v>Critical</x:v>
      </x:c>
      <x:c r="I52" s="42" t="n">
        <x:f>INDEX('Sprint Plan'!$D$9:$D$20,MATCH(B52,'Sprint Plan'!$A$9:$A$20,0))</x:f>
        <x:v>46218</x:v>
      </x:c>
      <x:c r="J52" s="42" t="n">
        <x:f>INDEX('Sprint Plan'!$E$9:$E$20,MATCH(B52,'Sprint Plan'!$A$9:$A$20,0))</x:f>
        <x:v>46231</x:v>
      </x:c>
      <x:c r="K52" s="28" t="str">
        <x:v>TBD</x:v>
      </x:c>
      <x:c r="L52" s="28" t="str">
        <x:v>Not Started</x:v>
      </x:c>
      <x:c r="M52" s="43" t="n">
        <x:v>0</x:v>
      </x:c>
      <x:c r="N52" s="28" t="n">
        <x:v>1</x:v>
      </x:c>
      <x:c r="O52" s="28" t="str"/>
      <x:c r="P52" s="28" t="str"/>
      <x:c r="Q52" s="28" t="str"/>
      <x:c r="R52" s="28" t="str"/>
      <x:c r="S52" s="28" t="str">
        <x:v>High</x:v>
      </x:c>
      <x:c r="T52" s="28" t="str">
        <x:f>IF(L52="Done","Green",IF(L52="Blocked","Red",IF(TODAY()&gt;J52,"Red",IF(M52&gt;=0.6,"Yellow","Green"))))</x:f>
        <x:v>Green</x:v>
      </x:c>
      <x:c r="U52" s="28" t="str"/>
    </x:row>
    <x:row r="53">
      <x:c r="A53" s="28" t="str">
        <x:v>SV-01-0051</x:v>
      </x:c>
      <x:c r="B53" s="28" t="str">
        <x:v>Sprint 1</x:v>
      </x:c>
      <x:c r="C53" s="28" t="str">
        <x:v>Month 1</x:v>
      </x:c>
      <x:c r="D53" s="28" t="str">
        <x:v>Infra/OpenNebula Engineer</x:v>
      </x:c>
      <x:c r="E53" s="28" t="str">
        <x:v>Compute</x:v>
      </x:c>
      <x:c r="F53" s="28" t="str">
        <x:v>Install 2 KVM compute host</x:v>
      </x:c>
      <x:c r="G53" s="28" t="str">
        <x:v>Compute hosts ready</x:v>
      </x:c>
      <x:c r="H53" s="28" t="str">
        <x:v>Critical</x:v>
      </x:c>
      <x:c r="I53" s="42" t="n">
        <x:f>INDEX('Sprint Plan'!$D$9:$D$20,MATCH(B53,'Sprint Plan'!$A$9:$A$20,0))</x:f>
        <x:v>46218</x:v>
      </x:c>
      <x:c r="J53" s="42" t="n">
        <x:f>INDEX('Sprint Plan'!$E$9:$E$20,MATCH(B53,'Sprint Plan'!$A$9:$A$20,0))</x:f>
        <x:v>46231</x:v>
      </x:c>
      <x:c r="K53" s="28" t="str">
        <x:v>TBD</x:v>
      </x:c>
      <x:c r="L53" s="28" t="str">
        <x:v>Not Started</x:v>
      </x:c>
      <x:c r="M53" s="43" t="n">
        <x:v>0</x:v>
      </x:c>
      <x:c r="N53" s="28" t="n">
        <x:v>1</x:v>
      </x:c>
      <x:c r="O53" s="28" t="str"/>
      <x:c r="P53" s="28" t="str"/>
      <x:c r="Q53" s="28" t="str"/>
      <x:c r="R53" s="28" t="str"/>
      <x:c r="S53" s="28" t="str">
        <x:v>High</x:v>
      </x:c>
      <x:c r="T53" s="28" t="str">
        <x:f>IF(L53="Done","Green",IF(L53="Blocked","Red",IF(TODAY()&gt;J53,"Red",IF(M53&gt;=0.6,"Yellow","Green"))))</x:f>
        <x:v>Green</x:v>
      </x:c>
      <x:c r="U53" s="28" t="str"/>
    </x:row>
    <x:row r="54">
      <x:c r="A54" s="28" t="str">
        <x:v>SV-01-0052</x:v>
      </x:c>
      <x:c r="B54" s="28" t="str">
        <x:v>Sprint 1</x:v>
      </x:c>
      <x:c r="C54" s="28" t="str">
        <x:v>Month 1</x:v>
      </x:c>
      <x:c r="D54" s="28" t="str">
        <x:v>Infra/OpenNebula Engineer</x:v>
      </x:c>
      <x:c r="E54" s="28" t="str">
        <x:v>Register</x:v>
      </x:c>
      <x:c r="F54" s="28" t="str">
        <x:v>Register compute host ke OpenNebula</x:v>
      </x:c>
      <x:c r="G54" s="28" t="str">
        <x:v>Hosts registered</x:v>
      </x:c>
      <x:c r="H54" s="28" t="str">
        <x:v>Critical</x:v>
      </x:c>
      <x:c r="I54" s="42" t="n">
        <x:f>INDEX('Sprint Plan'!$D$9:$D$20,MATCH(B54,'Sprint Plan'!$A$9:$A$20,0))</x:f>
        <x:v>46218</x:v>
      </x:c>
      <x:c r="J54" s="42" t="n">
        <x:f>INDEX('Sprint Plan'!$E$9:$E$20,MATCH(B54,'Sprint Plan'!$A$9:$A$20,0))</x:f>
        <x:v>46231</x:v>
      </x:c>
      <x:c r="K54" s="28" t="str">
        <x:v>TBD</x:v>
      </x:c>
      <x:c r="L54" s="28" t="str">
        <x:v>Not Started</x:v>
      </x:c>
      <x:c r="M54" s="43" t="n">
        <x:v>0</x:v>
      </x:c>
      <x:c r="N54" s="28" t="n">
        <x:v>1</x:v>
      </x:c>
      <x:c r="O54" s="28" t="str"/>
      <x:c r="P54" s="28" t="str"/>
      <x:c r="Q54" s="28" t="str"/>
      <x:c r="R54" s="28" t="str"/>
      <x:c r="S54" s="28" t="str">
        <x:v>High</x:v>
      </x:c>
      <x:c r="T54" s="28" t="str">
        <x:f>IF(L54="Done","Green",IF(L54="Blocked","Red",IF(TODAY()&gt;J54,"Red",IF(M54&gt;=0.6,"Yellow","Green"))))</x:f>
        <x:v>Green</x:v>
      </x:c>
      <x:c r="U54" s="28" t="str"/>
    </x:row>
    <x:row r="55">
      <x:c r="A55" s="28" t="str">
        <x:v>SV-01-0053</x:v>
      </x:c>
      <x:c r="B55" s="28" t="str">
        <x:v>Sprint 1</x:v>
      </x:c>
      <x:c r="C55" s="28" t="str">
        <x:v>Month 1</x:v>
      </x:c>
      <x:c r="D55" s="28" t="str">
        <x:v>Infra/OpenNebula Engineer</x:v>
      </x:c>
      <x:c r="E55" s="28" t="str">
        <x:v>Storage</x:v>
      </x:c>
      <x:c r="F55" s="28" t="str">
        <x:v>Setup datastore dan upload ISO/image</x:v>
      </x:c>
      <x:c r="G55" s="28" t="str">
        <x:v>Datastore/image ready</x:v>
      </x:c>
      <x:c r="H55" s="28" t="str">
        <x:v>Critical</x:v>
      </x:c>
      <x:c r="I55" s="42" t="n">
        <x:f>INDEX('Sprint Plan'!$D$9:$D$20,MATCH(B55,'Sprint Plan'!$A$9:$A$20,0))</x:f>
        <x:v>46218</x:v>
      </x:c>
      <x:c r="J55" s="42" t="n">
        <x:f>INDEX('Sprint Plan'!$E$9:$E$20,MATCH(B55,'Sprint Plan'!$A$9:$A$20,0))</x:f>
        <x:v>46231</x:v>
      </x:c>
      <x:c r="K55" s="28" t="str">
        <x:v>TBD</x:v>
      </x:c>
      <x:c r="L55" s="28" t="str">
        <x:v>Not Started</x:v>
      </x:c>
      <x:c r="M55" s="43" t="n">
        <x:v>0</x:v>
      </x:c>
      <x:c r="N55" s="28" t="n">
        <x:v>1</x:v>
      </x:c>
      <x:c r="O55" s="28" t="str"/>
      <x:c r="P55" s="28" t="str"/>
      <x:c r="Q55" s="28" t="str"/>
      <x:c r="R55" s="28" t="str"/>
      <x:c r="S55" s="28" t="str">
        <x:v>High</x:v>
      </x:c>
      <x:c r="T55" s="28" t="str">
        <x:f>IF(L55="Done","Green",IF(L55="Blocked","Red",IF(TODAY()&gt;J55,"Red",IF(M55&gt;=0.6,"Yellow","Green"))))</x:f>
        <x:v>Green</x:v>
      </x:c>
      <x:c r="U55" s="28" t="str"/>
    </x:row>
    <x:row r="56">
      <x:c r="A56" s="28" t="str">
        <x:v>SV-01-0054</x:v>
      </x:c>
      <x:c r="B56" s="28" t="str">
        <x:v>Sprint 1</x:v>
      </x:c>
      <x:c r="C56" s="28" t="str">
        <x:v>Month 1</x:v>
      </x:c>
      <x:c r="D56" s="28" t="str">
        <x:v>Infra/OpenNebula Engineer</x:v>
      </x:c>
      <x:c r="E56" s="28" t="str">
        <x:v>Network</x:v>
      </x:c>
      <x:c r="F56" s="28" t="str">
        <x:v>Setup virtual network dan test VM lifecycle manual</x:v>
      </x:c>
      <x:c r="G56" s="28" t="str">
        <x:v>VNet and VM test</x:v>
      </x:c>
      <x:c r="H56" s="28" t="str">
        <x:v>Critical</x:v>
      </x:c>
      <x:c r="I56" s="42" t="n">
        <x:f>INDEX('Sprint Plan'!$D$9:$D$20,MATCH(B56,'Sprint Plan'!$A$9:$A$20,0))</x:f>
        <x:v>46218</x:v>
      </x:c>
      <x:c r="J56" s="42" t="n">
        <x:f>INDEX('Sprint Plan'!$E$9:$E$20,MATCH(B56,'Sprint Plan'!$A$9:$A$20,0))</x:f>
        <x:v>46231</x:v>
      </x:c>
      <x:c r="K56" s="28" t="str">
        <x:v>TBD</x:v>
      </x:c>
      <x:c r="L56" s="28" t="str">
        <x:v>Not Started</x:v>
      </x:c>
      <x:c r="M56" s="43" t="n">
        <x:v>0</x:v>
      </x:c>
      <x:c r="N56" s="28" t="n">
        <x:v>1</x:v>
      </x:c>
      <x:c r="O56" s="28" t="str"/>
      <x:c r="P56" s="28" t="str"/>
      <x:c r="Q56" s="28" t="str"/>
      <x:c r="R56" s="28" t="str"/>
      <x:c r="S56" s="28" t="str">
        <x:v>High</x:v>
      </x:c>
      <x:c r="T56" s="28" t="str">
        <x:f>IF(L56="Done","Green",IF(L56="Blocked","Red",IF(TODAY()&gt;J56,"Red",IF(M56&gt;=0.6,"Yellow","Green"))))</x:f>
        <x:v>Green</x:v>
      </x:c>
      <x:c r="U56" s="28" t="str"/>
    </x:row>
    <x:row r="57">
      <x:c r="A57" s="28" t="str">
        <x:v>SV-01-0055</x:v>
      </x:c>
      <x:c r="B57" s="28" t="str">
        <x:v>Sprint 1</x:v>
      </x:c>
      <x:c r="C57" s="28" t="str">
        <x:v>Month 1</x:v>
      </x:c>
      <x:c r="D57" s="28" t="str">
        <x:v>Backend Engineer</x:v>
      </x:c>
      <x:c r="E57" s="28" t="str">
        <x:v>Study</x:v>
      </x:c>
      <x:c r="F57" s="28" t="str">
        <x:v>Study OpenNebula API dan auth model</x:v>
      </x:c>
      <x:c r="G57" s="28" t="str">
        <x:v>API understanding note</x:v>
      </x:c>
      <x:c r="H57" s="28" t="str">
        <x:v>Critical</x:v>
      </x:c>
      <x:c r="I57" s="42" t="n">
        <x:f>INDEX('Sprint Plan'!$D$9:$D$20,MATCH(B57,'Sprint Plan'!$A$9:$A$20,0))</x:f>
        <x:v>46218</x:v>
      </x:c>
      <x:c r="J57" s="42" t="n">
        <x:f>INDEX('Sprint Plan'!$E$9:$E$20,MATCH(B57,'Sprint Plan'!$A$9:$A$20,0))</x:f>
        <x:v>46231</x:v>
      </x:c>
      <x:c r="K57" s="28" t="str">
        <x:v>TBD</x:v>
      </x:c>
      <x:c r="L57" s="28" t="str">
        <x:v>Not Started</x:v>
      </x:c>
      <x:c r="M57" s="43" t="n">
        <x:v>0</x:v>
      </x:c>
      <x:c r="N57" s="28" t="n">
        <x:v>1</x:v>
      </x:c>
      <x:c r="O57" s="28" t="str"/>
      <x:c r="P57" s="28" t="str"/>
      <x:c r="Q57" s="28" t="str"/>
      <x:c r="R57" s="28" t="str"/>
      <x:c r="S57" s="28" t="str">
        <x:v>High</x:v>
      </x:c>
      <x:c r="T57" s="28" t="str">
        <x:f>IF(L57="Done","Green",IF(L57="Blocked","Red",IF(TODAY()&gt;J57,"Red",IF(M57&gt;=0.6,"Yellow","Green"))))</x:f>
        <x:v>Green</x:v>
      </x:c>
      <x:c r="U57" s="28" t="str"/>
    </x:row>
    <x:row r="58">
      <x:c r="A58" s="28" t="str">
        <x:v>SV-01-0056</x:v>
      </x:c>
      <x:c r="B58" s="28" t="str">
        <x:v>Sprint 1</x:v>
      </x:c>
      <x:c r="C58" s="28" t="str">
        <x:v>Month 1</x:v>
      </x:c>
      <x:c r="D58" s="28" t="str">
        <x:v>Backend Engineer</x:v>
      </x:c>
      <x:c r="E58" s="28" t="str">
        <x:v>Client</x:v>
      </x:c>
      <x:c r="F58" s="28" t="str">
        <x:v>Buat OpenNebula connection client</x:v>
      </x:c>
      <x:c r="G58" s="28" t="str">
        <x:v>Adapter client</x:v>
      </x:c>
      <x:c r="H58" s="28" t="str">
        <x:v>Critical</x:v>
      </x:c>
      <x:c r="I58" s="42" t="n">
        <x:f>INDEX('Sprint Plan'!$D$9:$D$20,MATCH(B58,'Sprint Plan'!$A$9:$A$20,0))</x:f>
        <x:v>46218</x:v>
      </x:c>
      <x:c r="J58" s="42" t="n">
        <x:f>INDEX('Sprint Plan'!$E$9:$E$20,MATCH(B58,'Sprint Plan'!$A$9:$A$20,0))</x:f>
        <x:v>46231</x:v>
      </x:c>
      <x:c r="K58" s="28" t="str">
        <x:v>TBD</x:v>
      </x:c>
      <x:c r="L58" s="28" t="str">
        <x:v>Not Started</x:v>
      </x:c>
      <x:c r="M58" s="43" t="n">
        <x:v>0</x:v>
      </x:c>
      <x:c r="N58" s="28" t="n">
        <x:v>1</x:v>
      </x:c>
      <x:c r="O58" s="28" t="str"/>
      <x:c r="P58" s="28" t="str"/>
      <x:c r="Q58" s="28" t="str"/>
      <x:c r="R58" s="28" t="str"/>
      <x:c r="S58" s="28" t="str">
        <x:v>High</x:v>
      </x:c>
      <x:c r="T58" s="28" t="str">
        <x:f>IF(L58="Done","Green",IF(L58="Blocked","Red",IF(TODAY()&gt;J58,"Red",IF(M58&gt;=0.6,"Yellow","Green"))))</x:f>
        <x:v>Green</x:v>
      </x:c>
      <x:c r="U58" s="28" t="str"/>
    </x:row>
    <x:row r="59">
      <x:c r="A59" s="28" t="str">
        <x:v>SV-01-0057</x:v>
      </x:c>
      <x:c r="B59" s="28" t="str">
        <x:v>Sprint 1</x:v>
      </x:c>
      <x:c r="C59" s="28" t="str">
        <x:v>Month 1</x:v>
      </x:c>
      <x:c r="D59" s="28" t="str">
        <x:v>Backend Engineer</x:v>
      </x:c>
      <x:c r="E59" s="28" t="str">
        <x:v>Health</x:v>
      </x:c>
      <x:c r="F59" s="28" t="str">
        <x:v>Implement engine health check</x:v>
      </x:c>
      <x:c r="G59" s="28" t="str">
        <x:v>/engine/health</x:v>
      </x:c>
      <x:c r="H59" s="28" t="str">
        <x:v>Critical</x:v>
      </x:c>
      <x:c r="I59" s="42" t="n">
        <x:f>INDEX('Sprint Plan'!$D$9:$D$20,MATCH(B59,'Sprint Plan'!$A$9:$A$20,0))</x:f>
        <x:v>46218</x:v>
      </x:c>
      <x:c r="J59" s="42" t="n">
        <x:f>INDEX('Sprint Plan'!$E$9:$E$20,MATCH(B59,'Sprint Plan'!$A$9:$A$20,0))</x:f>
        <x:v>46231</x:v>
      </x:c>
      <x:c r="K59" s="28" t="str">
        <x:v>TBD</x:v>
      </x:c>
      <x:c r="L59" s="28" t="str">
        <x:v>Not Started</x:v>
      </x:c>
      <x:c r="M59" s="43" t="n">
        <x:v>0</x:v>
      </x:c>
      <x:c r="N59" s="28" t="n">
        <x:v>1</x:v>
      </x:c>
      <x:c r="O59" s="28" t="str"/>
      <x:c r="P59" s="28" t="str"/>
      <x:c r="Q59" s="28" t="str"/>
      <x:c r="R59" s="28" t="str"/>
      <x:c r="S59" s="28" t="str">
        <x:v>High</x:v>
      </x:c>
      <x:c r="T59" s="28" t="str">
        <x:f>IF(L59="Done","Green",IF(L59="Blocked","Red",IF(TODAY()&gt;J59,"Red",IF(M59&gt;=0.6,"Yellow","Green"))))</x:f>
        <x:v>Green</x:v>
      </x:c>
      <x:c r="U59" s="28" t="str"/>
    </x:row>
    <x:row r="60">
      <x:c r="A60" s="28" t="str">
        <x:v>SV-01-0058</x:v>
      </x:c>
      <x:c r="B60" s="28" t="str">
        <x:v>Sprint 1</x:v>
      </x:c>
      <x:c r="C60" s="28" t="str">
        <x:v>Month 1</x:v>
      </x:c>
      <x:c r="D60" s="28" t="str">
        <x:v>Backend Engineer</x:v>
      </x:c>
      <x:c r="E60" s="28" t="str">
        <x:v>Host</x:v>
      </x:c>
      <x:c r="F60" s="28" t="str">
        <x:v>Implement get hosts</x:v>
      </x:c>
      <x:c r="G60" s="28" t="str">
        <x:v>/engine/hosts</x:v>
      </x:c>
      <x:c r="H60" s="28" t="str">
        <x:v>Critical</x:v>
      </x:c>
      <x:c r="I60" s="42" t="n">
        <x:f>INDEX('Sprint Plan'!$D$9:$D$20,MATCH(B60,'Sprint Plan'!$A$9:$A$20,0))</x:f>
        <x:v>46218</x:v>
      </x:c>
      <x:c r="J60" s="42" t="n">
        <x:f>INDEX('Sprint Plan'!$E$9:$E$20,MATCH(B60,'Sprint Plan'!$A$9:$A$20,0))</x:f>
        <x:v>46231</x:v>
      </x:c>
      <x:c r="K60" s="28" t="str">
        <x:v>TBD</x:v>
      </x:c>
      <x:c r="L60" s="28" t="str">
        <x:v>Not Started</x:v>
      </x:c>
      <x:c r="M60" s="43" t="n">
        <x:v>0</x:v>
      </x:c>
      <x:c r="N60" s="28" t="n">
        <x:v>1</x:v>
      </x:c>
      <x:c r="O60" s="28" t="str"/>
      <x:c r="P60" s="28" t="str"/>
      <x:c r="Q60" s="28" t="str"/>
      <x:c r="R60" s="28" t="str"/>
      <x:c r="S60" s="28" t="str">
        <x:v>High</x:v>
      </x:c>
      <x:c r="T60" s="28" t="str">
        <x:f>IF(L60="Done","Green",IF(L60="Blocked","Red",IF(TODAY()&gt;J60,"Red",IF(M60&gt;=0.6,"Yellow","Green"))))</x:f>
        <x:v>Green</x:v>
      </x:c>
      <x:c r="U60" s="28" t="str"/>
    </x:row>
    <x:row r="61">
      <x:c r="A61" s="28" t="str">
        <x:v>SV-01-0059</x:v>
      </x:c>
      <x:c r="B61" s="28" t="str">
        <x:v>Sprint 1</x:v>
      </x:c>
      <x:c r="C61" s="28" t="str">
        <x:v>Month 1</x:v>
      </x:c>
      <x:c r="D61" s="28" t="str">
        <x:v>Backend Engineer</x:v>
      </x:c>
      <x:c r="E61" s="28" t="str">
        <x:v>VM</x:v>
      </x:c>
      <x:c r="F61" s="28" t="str">
        <x:v>Implement get VM list/detail</x:v>
      </x:c>
      <x:c r="G61" s="28" t="str">
        <x:v>/engine/vms</x:v>
      </x:c>
      <x:c r="H61" s="28" t="str">
        <x:v>Critical</x:v>
      </x:c>
      <x:c r="I61" s="42" t="n">
        <x:f>INDEX('Sprint Plan'!$D$9:$D$20,MATCH(B61,'Sprint Plan'!$A$9:$A$20,0))</x:f>
        <x:v>46218</x:v>
      </x:c>
      <x:c r="J61" s="42" t="n">
        <x:f>INDEX('Sprint Plan'!$E$9:$E$20,MATCH(B61,'Sprint Plan'!$A$9:$A$20,0))</x:f>
        <x:v>46231</x:v>
      </x:c>
      <x:c r="K61" s="28" t="str">
        <x:v>TBD</x:v>
      </x:c>
      <x:c r="L61" s="28" t="str">
        <x:v>Not Started</x:v>
      </x:c>
      <x:c r="M61" s="43" t="n">
        <x:v>0</x:v>
      </x:c>
      <x:c r="N61" s="28" t="n">
        <x:v>1</x:v>
      </x:c>
      <x:c r="O61" s="28" t="str"/>
      <x:c r="P61" s="28" t="str"/>
      <x:c r="Q61" s="28" t="str"/>
      <x:c r="R61" s="28" t="str"/>
      <x:c r="S61" s="28" t="str">
        <x:v>High</x:v>
      </x:c>
      <x:c r="T61" s="28" t="str">
        <x:f>IF(L61="Done","Green",IF(L61="Blocked","Red",IF(TODAY()&gt;J61,"Red",IF(M61&gt;=0.6,"Yellow","Green"))))</x:f>
        <x:v>Green</x:v>
      </x:c>
      <x:c r="U61" s="28" t="str"/>
    </x:row>
    <x:row r="62">
      <x:c r="A62" s="28" t="str">
        <x:v>SV-01-0060</x:v>
      </x:c>
      <x:c r="B62" s="28" t="str">
        <x:v>Sprint 1</x:v>
      </x:c>
      <x:c r="C62" s="28" t="str">
        <x:v>Month 1</x:v>
      </x:c>
      <x:c r="D62" s="28" t="str">
        <x:v>Frontend Engineer</x:v>
      </x:c>
      <x:c r="E62" s="28" t="str">
        <x:v>Login Static</x:v>
      </x:c>
      <x:c r="F62" s="28" t="str">
        <x:v>Buat login UI static</x:v>
      </x:c>
      <x:c r="G62" s="28" t="str">
        <x:v>Login screen</x:v>
      </x:c>
      <x:c r="H62" s="28" t="str">
        <x:v>Critical</x:v>
      </x:c>
      <x:c r="I62" s="42" t="n">
        <x:f>INDEX('Sprint Plan'!$D$9:$D$20,MATCH(B62,'Sprint Plan'!$A$9:$A$20,0))</x:f>
        <x:v>46218</x:v>
      </x:c>
      <x:c r="J62" s="42" t="n">
        <x:f>INDEX('Sprint Plan'!$E$9:$E$20,MATCH(B62,'Sprint Plan'!$A$9:$A$20,0))</x:f>
        <x:v>46231</x:v>
      </x:c>
      <x:c r="K62" s="28" t="str">
        <x:v>TBD</x:v>
      </x:c>
      <x:c r="L62" s="28" t="str">
        <x:v>Not Started</x:v>
      </x:c>
      <x:c r="M62" s="43" t="n">
        <x:v>0</x:v>
      </x:c>
      <x:c r="N62" s="28" t="n">
        <x:v>1</x:v>
      </x:c>
      <x:c r="O62" s="28" t="str"/>
      <x:c r="P62" s="28" t="str"/>
      <x:c r="Q62" s="28" t="str"/>
      <x:c r="R62" s="28" t="str"/>
      <x:c r="S62" s="28" t="str">
        <x:v>High</x:v>
      </x:c>
      <x:c r="T62" s="28" t="str">
        <x:f>IF(L62="Done","Green",IF(L62="Blocked","Red",IF(TODAY()&gt;J62,"Red",IF(M62&gt;=0.6,"Yellow","Green"))))</x:f>
        <x:v>Green</x:v>
      </x:c>
      <x:c r="U62" s="28" t="str"/>
    </x:row>
    <x:row r="63">
      <x:c r="A63" s="28" t="str">
        <x:v>SV-01-0061</x:v>
      </x:c>
      <x:c r="B63" s="28" t="str">
        <x:v>Sprint 1</x:v>
      </x:c>
      <x:c r="C63" s="28" t="str">
        <x:v>Month 1</x:v>
      </x:c>
      <x:c r="D63" s="28" t="str">
        <x:v>Frontend Engineer</x:v>
      </x:c>
      <x:c r="E63" s="28" t="str">
        <x:v>Dashboard Static</x:v>
      </x:c>
      <x:c r="F63" s="28" t="str">
        <x:v>Buat dashboard static</x:v>
      </x:c>
      <x:c r="G63" s="28" t="str">
        <x:v>Dashboard screen</x:v>
      </x:c>
      <x:c r="H63" s="28" t="str">
        <x:v>Critical</x:v>
      </x:c>
      <x:c r="I63" s="42" t="n">
        <x:f>INDEX('Sprint Plan'!$D$9:$D$20,MATCH(B63,'Sprint Plan'!$A$9:$A$20,0))</x:f>
        <x:v>46218</x:v>
      </x:c>
      <x:c r="J63" s="42" t="n">
        <x:f>INDEX('Sprint Plan'!$E$9:$E$20,MATCH(B63,'Sprint Plan'!$A$9:$A$20,0))</x:f>
        <x:v>46231</x:v>
      </x:c>
      <x:c r="K63" s="28" t="str">
        <x:v>TBD</x:v>
      </x:c>
      <x:c r="L63" s="28" t="str">
        <x:v>Not Started</x:v>
      </x:c>
      <x:c r="M63" s="43" t="n">
        <x:v>0</x:v>
      </x:c>
      <x:c r="N63" s="28" t="n">
        <x:v>1</x:v>
      </x:c>
      <x:c r="O63" s="28" t="str"/>
      <x:c r="P63" s="28" t="str"/>
      <x:c r="Q63" s="28" t="str"/>
      <x:c r="R63" s="28" t="str"/>
      <x:c r="S63" s="28" t="str">
        <x:v>High</x:v>
      </x:c>
      <x:c r="T63" s="28" t="str">
        <x:f>IF(L63="Done","Green",IF(L63="Blocked","Red",IF(TODAY()&gt;J63,"Red",IF(M63&gt;=0.6,"Yellow","Green"))))</x:f>
        <x:v>Green</x:v>
      </x:c>
      <x:c r="U63" s="28" t="str"/>
    </x:row>
    <x:row r="64">
      <x:c r="A64" s="28" t="str">
        <x:v>SV-01-0062</x:v>
      </x:c>
      <x:c r="B64" s="28" t="str">
        <x:v>Sprint 1</x:v>
      </x:c>
      <x:c r="C64" s="28" t="str">
        <x:v>Month 1</x:v>
      </x:c>
      <x:c r="D64" s="28" t="str">
        <x:v>Frontend Engineer</x:v>
      </x:c>
      <x:c r="E64" s="28" t="str">
        <x:v>Host Static</x:v>
      </x:c>
      <x:c r="F64" s="28" t="str">
        <x:v>Buat host list static</x:v>
      </x:c>
      <x:c r="G64" s="28" t="str">
        <x:v>Host list screen</x:v>
      </x:c>
      <x:c r="H64" s="28" t="str">
        <x:v>Critical</x:v>
      </x:c>
      <x:c r="I64" s="42" t="n">
        <x:f>INDEX('Sprint Plan'!$D$9:$D$20,MATCH(B64,'Sprint Plan'!$A$9:$A$20,0))</x:f>
        <x:v>46218</x:v>
      </x:c>
      <x:c r="J64" s="42" t="n">
        <x:f>INDEX('Sprint Plan'!$E$9:$E$20,MATCH(B64,'Sprint Plan'!$A$9:$A$20,0))</x:f>
        <x:v>46231</x:v>
      </x:c>
      <x:c r="K64" s="28" t="str">
        <x:v>TBD</x:v>
      </x:c>
      <x:c r="L64" s="28" t="str">
        <x:v>Not Started</x:v>
      </x:c>
      <x:c r="M64" s="43" t="n">
        <x:v>0</x:v>
      </x:c>
      <x:c r="N64" s="28" t="n">
        <x:v>1</x:v>
      </x:c>
      <x:c r="O64" s="28" t="str"/>
      <x:c r="P64" s="28" t="str"/>
      <x:c r="Q64" s="28" t="str"/>
      <x:c r="R64" s="28" t="str"/>
      <x:c r="S64" s="28" t="str">
        <x:v>High</x:v>
      </x:c>
      <x:c r="T64" s="28" t="str">
        <x:f>IF(L64="Done","Green",IF(L64="Blocked","Red",IF(TODAY()&gt;J64,"Red",IF(M64&gt;=0.6,"Yellow","Green"))))</x:f>
        <x:v>Green</x:v>
      </x:c>
      <x:c r="U64" s="28" t="str"/>
    </x:row>
    <x:row r="65">
      <x:c r="A65" s="28" t="str">
        <x:v>SV-01-0063</x:v>
      </x:c>
      <x:c r="B65" s="28" t="str">
        <x:v>Sprint 1</x:v>
      </x:c>
      <x:c r="C65" s="28" t="str">
        <x:v>Month 1</x:v>
      </x:c>
      <x:c r="D65" s="28" t="str">
        <x:v>Frontend Engineer</x:v>
      </x:c>
      <x:c r="E65" s="28" t="str">
        <x:v>VM Static</x:v>
      </x:c>
      <x:c r="F65" s="28" t="str">
        <x:v>Buat VM list/detail static</x:v>
      </x:c>
      <x:c r="G65" s="28" t="str">
        <x:v>VM screens</x:v>
      </x:c>
      <x:c r="H65" s="28" t="str">
        <x:v>Critical</x:v>
      </x:c>
      <x:c r="I65" s="42" t="n">
        <x:f>INDEX('Sprint Plan'!$D$9:$D$20,MATCH(B65,'Sprint Plan'!$A$9:$A$20,0))</x:f>
        <x:v>46218</x:v>
      </x:c>
      <x:c r="J65" s="42" t="n">
        <x:f>INDEX('Sprint Plan'!$E$9:$E$20,MATCH(B65,'Sprint Plan'!$A$9:$A$20,0))</x:f>
        <x:v>46231</x:v>
      </x:c>
      <x:c r="K65" s="28" t="str">
        <x:v>TBD</x:v>
      </x:c>
      <x:c r="L65" s="28" t="str">
        <x:v>Not Started</x:v>
      </x:c>
      <x:c r="M65" s="43" t="n">
        <x:v>0</x:v>
      </x:c>
      <x:c r="N65" s="28" t="n">
        <x:v>1</x:v>
      </x:c>
      <x:c r="O65" s="28" t="str"/>
      <x:c r="P65" s="28" t="str"/>
      <x:c r="Q65" s="28" t="str"/>
      <x:c r="R65" s="28" t="str"/>
      <x:c r="S65" s="28" t="str">
        <x:v>High</x:v>
      </x:c>
      <x:c r="T65" s="28" t="str">
        <x:f>IF(L65="Done","Green",IF(L65="Blocked","Red",IF(TODAY()&gt;J65,"Red",IF(M65&gt;=0.6,"Yellow","Green"))))</x:f>
        <x:v>Green</x:v>
      </x:c>
      <x:c r="U65" s="28" t="str"/>
    </x:row>
    <x:row r="66">
      <x:c r="A66" s="28" t="str">
        <x:v>SV-01-0064</x:v>
      </x:c>
      <x:c r="B66" s="28" t="str">
        <x:v>Sprint 1</x:v>
      </x:c>
      <x:c r="C66" s="28" t="str">
        <x:v>Month 1</x:v>
      </x:c>
      <x:c r="D66" s="28" t="str">
        <x:v>Frontend Engineer</x:v>
      </x:c>
      <x:c r="E66" s="28" t="str">
        <x:v>Brand</x:v>
      </x:c>
      <x:c r="F66" s="28" t="str">
        <x:v>Refine design token Saft VE</x:v>
      </x:c>
      <x:c r="G66" s="28" t="str">
        <x:v>Brand baseline</x:v>
      </x:c>
      <x:c r="H66" s="28" t="str">
        <x:v>Critical</x:v>
      </x:c>
      <x:c r="I66" s="42" t="n">
        <x:f>INDEX('Sprint Plan'!$D$9:$D$20,MATCH(B66,'Sprint Plan'!$A$9:$A$20,0))</x:f>
        <x:v>46218</x:v>
      </x:c>
      <x:c r="J66" s="42" t="n">
        <x:f>INDEX('Sprint Plan'!$E$9:$E$20,MATCH(B66,'Sprint Plan'!$A$9:$A$20,0))</x:f>
        <x:v>46231</x:v>
      </x:c>
      <x:c r="K66" s="28" t="str">
        <x:v>TBD</x:v>
      </x:c>
      <x:c r="L66" s="28" t="str">
        <x:v>Not Started</x:v>
      </x:c>
      <x:c r="M66" s="43" t="n">
        <x:v>0</x:v>
      </x:c>
      <x:c r="N66" s="28" t="n">
        <x:v>1</x:v>
      </x:c>
      <x:c r="O66" s="28" t="str"/>
      <x:c r="P66" s="28" t="str"/>
      <x:c r="Q66" s="28" t="str"/>
      <x:c r="R66" s="28" t="str"/>
      <x:c r="S66" s="28" t="str">
        <x:v>High</x:v>
      </x:c>
      <x:c r="T66" s="28" t="str">
        <x:f>IF(L66="Done","Green",IF(L66="Blocked","Red",IF(TODAY()&gt;J66,"Red",IF(M66&gt;=0.6,"Yellow","Green"))))</x:f>
        <x:v>Green</x:v>
      </x:c>
      <x:c r="U66" s="28" t="str"/>
    </x:row>
    <x:row r="67">
      <x:c r="A67" s="28" t="str">
        <x:v>SV-01-0065</x:v>
      </x:c>
      <x:c r="B67" s="28" t="str">
        <x:v>Sprint 1</x:v>
      </x:c>
      <x:c r="C67" s="28" t="str">
        <x:v>Month 1</x:v>
      </x:c>
      <x:c r="D67" s="28" t="str">
        <x:v>QA/Tester</x:v>
      </x:c>
      <x:c r="E67" s="28" t="str">
        <x:v>Install Test</x:v>
      </x:c>
      <x:c r="F67" s="28" t="str">
        <x:v>Test install OpenNebula</x:v>
      </x:c>
      <x:c r="G67" s="28" t="str">
        <x:v>Installation test result</x:v>
      </x:c>
      <x:c r="H67" s="28" t="str">
        <x:v>Critical</x:v>
      </x:c>
      <x:c r="I67" s="42" t="n">
        <x:f>INDEX('Sprint Plan'!$D$9:$D$20,MATCH(B67,'Sprint Plan'!$A$9:$A$20,0))</x:f>
        <x:v>46218</x:v>
      </x:c>
      <x:c r="J67" s="42" t="n">
        <x:f>INDEX('Sprint Plan'!$E$9:$E$20,MATCH(B67,'Sprint Plan'!$A$9:$A$20,0))</x:f>
        <x:v>46231</x:v>
      </x:c>
      <x:c r="K67" s="28" t="str">
        <x:v>TBD</x:v>
      </x:c>
      <x:c r="L67" s="28" t="str">
        <x:v>Not Started</x:v>
      </x:c>
      <x:c r="M67" s="43" t="n">
        <x:v>0</x:v>
      </x:c>
      <x:c r="N67" s="28" t="n">
        <x:v>1</x:v>
      </x:c>
      <x:c r="O67" s="28" t="str"/>
      <x:c r="P67" s="28" t="str"/>
      <x:c r="Q67" s="28" t="str"/>
      <x:c r="R67" s="28" t="str"/>
      <x:c r="S67" s="28" t="str">
        <x:v>High</x:v>
      </x:c>
      <x:c r="T67" s="28" t="str">
        <x:f>IF(L67="Done","Green",IF(L67="Blocked","Red",IF(TODAY()&gt;J67,"Red",IF(M67&gt;=0.6,"Yellow","Green"))))</x:f>
        <x:v>Green</x:v>
      </x:c>
      <x:c r="U67" s="28" t="str"/>
    </x:row>
    <x:row r="68">
      <x:c r="A68" s="28" t="str">
        <x:v>SV-01-0066</x:v>
      </x:c>
      <x:c r="B68" s="28" t="str">
        <x:v>Sprint 1</x:v>
      </x:c>
      <x:c r="C68" s="28" t="str">
        <x:v>Month 1</x:v>
      </x:c>
      <x:c r="D68" s="28" t="str">
        <x:v>QA/Tester</x:v>
      </x:c>
      <x:c r="E68" s="28" t="str">
        <x:v>Host Test</x:v>
      </x:c>
      <x:c r="F68" s="28" t="str">
        <x:v>Test host registration</x:v>
      </x:c>
      <x:c r="G68" s="28" t="str">
        <x:v>Host test</x:v>
      </x:c>
      <x:c r="H68" s="28" t="str">
        <x:v>Critical</x:v>
      </x:c>
      <x:c r="I68" s="42" t="n">
        <x:f>INDEX('Sprint Plan'!$D$9:$D$20,MATCH(B68,'Sprint Plan'!$A$9:$A$20,0))</x:f>
        <x:v>46218</x:v>
      </x:c>
      <x:c r="J68" s="42" t="n">
        <x:f>INDEX('Sprint Plan'!$E$9:$E$20,MATCH(B68,'Sprint Plan'!$A$9:$A$20,0))</x:f>
        <x:v>46231</x:v>
      </x:c>
      <x:c r="K68" s="28" t="str">
        <x:v>TBD</x:v>
      </x:c>
      <x:c r="L68" s="28" t="str">
        <x:v>Not Started</x:v>
      </x:c>
      <x:c r="M68" s="43" t="n">
        <x:v>0</x:v>
      </x:c>
      <x:c r="N68" s="28" t="n">
        <x:v>1</x:v>
      </x:c>
      <x:c r="O68" s="28" t="str"/>
      <x:c r="P68" s="28" t="str"/>
      <x:c r="Q68" s="28" t="str"/>
      <x:c r="R68" s="28" t="str"/>
      <x:c r="S68" s="28" t="str">
        <x:v>High</x:v>
      </x:c>
      <x:c r="T68" s="28" t="str">
        <x:f>IF(L68="Done","Green",IF(L68="Blocked","Red",IF(TODAY()&gt;J68,"Red",IF(M68&gt;=0.6,"Yellow","Green"))))</x:f>
        <x:v>Green</x:v>
      </x:c>
      <x:c r="U68" s="28" t="str"/>
    </x:row>
    <x:row r="69">
      <x:c r="A69" s="28" t="str">
        <x:v>SV-01-0067</x:v>
      </x:c>
      <x:c r="B69" s="28" t="str">
        <x:v>Sprint 1</x:v>
      </x:c>
      <x:c r="C69" s="28" t="str">
        <x:v>Month 1</x:v>
      </x:c>
      <x:c r="D69" s="28" t="str">
        <x:v>QA/Tester</x:v>
      </x:c>
      <x:c r="E69" s="28" t="str">
        <x:v>VM Test</x:v>
      </x:c>
      <x:c r="F69" s="28" t="str">
        <x:v>Test create VM manual</x:v>
      </x:c>
      <x:c r="G69" s="28" t="str">
        <x:v>VM test result</x:v>
      </x:c>
      <x:c r="H69" s="28" t="str">
        <x:v>Critical</x:v>
      </x:c>
      <x:c r="I69" s="42" t="n">
        <x:f>INDEX('Sprint Plan'!$D$9:$D$20,MATCH(B69,'Sprint Plan'!$A$9:$A$20,0))</x:f>
        <x:v>46218</x:v>
      </x:c>
      <x:c r="J69" s="42" t="n">
        <x:f>INDEX('Sprint Plan'!$E$9:$E$20,MATCH(B69,'Sprint Plan'!$A$9:$A$20,0))</x:f>
        <x:v>46231</x:v>
      </x:c>
      <x:c r="K69" s="28" t="str">
        <x:v>TBD</x:v>
      </x:c>
      <x:c r="L69" s="28" t="str">
        <x:v>Not Started</x:v>
      </x:c>
      <x:c r="M69" s="43" t="n">
        <x:v>0</x:v>
      </x:c>
      <x:c r="N69" s="28" t="n">
        <x:v>1</x:v>
      </x:c>
      <x:c r="O69" s="28" t="str"/>
      <x:c r="P69" s="28" t="str"/>
      <x:c r="Q69" s="28" t="str"/>
      <x:c r="R69" s="28" t="str"/>
      <x:c r="S69" s="28" t="str">
        <x:v>High</x:v>
      </x:c>
      <x:c r="T69" s="28" t="str">
        <x:f>IF(L69="Done","Green",IF(L69="Blocked","Red",IF(TODAY()&gt;J69,"Red",IF(M69&gt;=0.6,"Yellow","Green"))))</x:f>
        <x:v>Green</x:v>
      </x:c>
      <x:c r="U69" s="28" t="str"/>
    </x:row>
    <x:row r="70">
      <x:c r="A70" s="28" t="str">
        <x:v>SV-01-0068</x:v>
      </x:c>
      <x:c r="B70" s="28" t="str">
        <x:v>Sprint 1</x:v>
      </x:c>
      <x:c r="C70" s="28" t="str">
        <x:v>Month 1</x:v>
      </x:c>
      <x:c r="D70" s="28" t="str">
        <x:v>QA/Tester</x:v>
      </x:c>
      <x:c r="E70" s="28" t="str">
        <x:v>Network Test</x:v>
      </x:c>
      <x:c r="F70" s="28" t="str">
        <x:v>Test network VM</x:v>
      </x:c>
      <x:c r="G70" s="28" t="str">
        <x:v>Network test result</x:v>
      </x:c>
      <x:c r="H70" s="28" t="str">
        <x:v>Critical</x:v>
      </x:c>
      <x:c r="I70" s="42" t="n">
        <x:f>INDEX('Sprint Plan'!$D$9:$D$20,MATCH(B70,'Sprint Plan'!$A$9:$A$20,0))</x:f>
        <x:v>46218</x:v>
      </x:c>
      <x:c r="J70" s="42" t="n">
        <x:f>INDEX('Sprint Plan'!$E$9:$E$20,MATCH(B70,'Sprint Plan'!$A$9:$A$20,0))</x:f>
        <x:v>46231</x:v>
      </x:c>
      <x:c r="K70" s="28" t="str">
        <x:v>TBD</x:v>
      </x:c>
      <x:c r="L70" s="28" t="str">
        <x:v>Not Started</x:v>
      </x:c>
      <x:c r="M70" s="43" t="n">
        <x:v>0</x:v>
      </x:c>
      <x:c r="N70" s="28" t="n">
        <x:v>1</x:v>
      </x:c>
      <x:c r="O70" s="28" t="str"/>
      <x:c r="P70" s="28" t="str"/>
      <x:c r="Q70" s="28" t="str"/>
      <x:c r="R70" s="28" t="str"/>
      <x:c r="S70" s="28" t="str">
        <x:v>High</x:v>
      </x:c>
      <x:c r="T70" s="28" t="str">
        <x:f>IF(L70="Done","Green",IF(L70="Blocked","Red",IF(TODAY()&gt;J70,"Red",IF(M70&gt;=0.6,"Yellow","Green"))))</x:f>
        <x:v>Green</x:v>
      </x:c>
      <x:c r="U70" s="28" t="str"/>
    </x:row>
    <x:row r="71">
      <x:c r="A71" s="28" t="str">
        <x:v>SV-01-0069</x:v>
      </x:c>
      <x:c r="B71" s="28" t="str">
        <x:v>Sprint 1</x:v>
      </x:c>
      <x:c r="C71" s="28" t="str">
        <x:v>Month 1</x:v>
      </x:c>
      <x:c r="D71" s="28" t="str">
        <x:v>QA/Tester</x:v>
      </x:c>
      <x:c r="E71" s="28" t="str">
        <x:v>Issue Log</x:v>
      </x:c>
      <x:c r="F71" s="28" t="str">
        <x:v>Catat issue engine</x:v>
      </x:c>
      <x:c r="G71" s="28" t="str">
        <x:v>Issue log</x:v>
      </x:c>
      <x:c r="H71" s="28" t="str">
        <x:v>Critical</x:v>
      </x:c>
      <x:c r="I71" s="42" t="n">
        <x:f>INDEX('Sprint Plan'!$D$9:$D$20,MATCH(B71,'Sprint Plan'!$A$9:$A$20,0))</x:f>
        <x:v>46218</x:v>
      </x:c>
      <x:c r="J71" s="42" t="n">
        <x:f>INDEX('Sprint Plan'!$E$9:$E$20,MATCH(B71,'Sprint Plan'!$A$9:$A$20,0))</x:f>
        <x:v>46231</x:v>
      </x:c>
      <x:c r="K71" s="28" t="str">
        <x:v>TBD</x:v>
      </x:c>
      <x:c r="L71" s="28" t="str">
        <x:v>Not Started</x:v>
      </x:c>
      <x:c r="M71" s="43" t="n">
        <x:v>0</x:v>
      </x:c>
      <x:c r="N71" s="28" t="n">
        <x:v>1</x:v>
      </x:c>
      <x:c r="O71" s="28" t="str"/>
      <x:c r="P71" s="28" t="str"/>
      <x:c r="Q71" s="28" t="str"/>
      <x:c r="R71" s="28" t="str"/>
      <x:c r="S71" s="28" t="str">
        <x:v>High</x:v>
      </x:c>
      <x:c r="T71" s="28" t="str">
        <x:f>IF(L71="Done","Green",IF(L71="Blocked","Red",IF(TODAY()&gt;J71,"Red",IF(M71&gt;=0.6,"Yellow","Green"))))</x:f>
        <x:v>Green</x:v>
      </x:c>
      <x:c r="U71" s="28" t="str"/>
    </x:row>
    <x:row r="72">
      <x:c r="A72" s="28" t="str">
        <x:v>SV-01-0070</x:v>
      </x:c>
      <x:c r="B72" s="28" t="str">
        <x:v>Sprint 1</x:v>
      </x:c>
      <x:c r="C72" s="28" t="str">
        <x:v>Month 1</x:v>
      </x:c>
      <x:c r="D72" s="28" t="str">
        <x:v>Technical Writer</x:v>
      </x:c>
      <x:c r="E72" s="28" t="str">
        <x:v>Install Guide</x:v>
      </x:c>
      <x:c r="F72" s="28" t="str">
        <x:v>Dokumentasi OpenNebula install</x:v>
      </x:c>
      <x:c r="G72" s="28" t="str">
        <x:v>Install guide v1</x:v>
      </x:c>
      <x:c r="H72" s="28" t="str">
        <x:v>Critical</x:v>
      </x:c>
      <x:c r="I72" s="42" t="n">
        <x:f>INDEX('Sprint Plan'!$D$9:$D$20,MATCH(B72,'Sprint Plan'!$A$9:$A$20,0))</x:f>
        <x:v>46218</x:v>
      </x:c>
      <x:c r="J72" s="42" t="n">
        <x:f>INDEX('Sprint Plan'!$E$9:$E$20,MATCH(B72,'Sprint Plan'!$A$9:$A$20,0))</x:f>
        <x:v>46231</x:v>
      </x:c>
      <x:c r="K72" s="28" t="str">
        <x:v>TBD</x:v>
      </x:c>
      <x:c r="L72" s="28" t="str">
        <x:v>Not Started</x:v>
      </x:c>
      <x:c r="M72" s="43" t="n">
        <x:v>0</x:v>
      </x:c>
      <x:c r="N72" s="28" t="n">
        <x:v>1</x:v>
      </x:c>
      <x:c r="O72" s="28" t="str"/>
      <x:c r="P72" s="28" t="str"/>
      <x:c r="Q72" s="28" t="str"/>
      <x:c r="R72" s="28" t="str"/>
      <x:c r="S72" s="28" t="str">
        <x:v>High</x:v>
      </x:c>
      <x:c r="T72" s="28" t="str">
        <x:f>IF(L72="Done","Green",IF(L72="Blocked","Red",IF(TODAY()&gt;J72,"Red",IF(M72&gt;=0.6,"Yellow","Green"))))</x:f>
        <x:v>Green</x:v>
      </x:c>
      <x:c r="U72" s="28" t="str"/>
    </x:row>
    <x:row r="73">
      <x:c r="A73" s="28" t="str">
        <x:v>SV-01-0071</x:v>
      </x:c>
      <x:c r="B73" s="28" t="str">
        <x:v>Sprint 1</x:v>
      </x:c>
      <x:c r="C73" s="28" t="str">
        <x:v>Month 1</x:v>
      </x:c>
      <x:c r="D73" s="28" t="str">
        <x:v>Technical Writer</x:v>
      </x:c>
      <x:c r="E73" s="28" t="str">
        <x:v>Topology</x:v>
      </x:c>
      <x:c r="F73" s="28" t="str">
        <x:v>Dokumentasi lab topology</x:v>
      </x:c>
      <x:c r="G73" s="28" t="str">
        <x:v>Lab guide</x:v>
      </x:c>
      <x:c r="H73" s="28" t="str">
        <x:v>Critical</x:v>
      </x:c>
      <x:c r="I73" s="42" t="n">
        <x:f>INDEX('Sprint Plan'!$D$9:$D$20,MATCH(B73,'Sprint Plan'!$A$9:$A$20,0))</x:f>
        <x:v>46218</x:v>
      </x:c>
      <x:c r="J73" s="42" t="n">
        <x:f>INDEX('Sprint Plan'!$E$9:$E$20,MATCH(B73,'Sprint Plan'!$A$9:$A$20,0))</x:f>
        <x:v>46231</x:v>
      </x:c>
      <x:c r="K73" s="28" t="str">
        <x:v>TBD</x:v>
      </x:c>
      <x:c r="L73" s="28" t="str">
        <x:v>Not Started</x:v>
      </x:c>
      <x:c r="M73" s="43" t="n">
        <x:v>0</x:v>
      </x:c>
      <x:c r="N73" s="28" t="n">
        <x:v>1</x:v>
      </x:c>
      <x:c r="O73" s="28" t="str"/>
      <x:c r="P73" s="28" t="str"/>
      <x:c r="Q73" s="28" t="str"/>
      <x:c r="R73" s="28" t="str"/>
      <x:c r="S73" s="28" t="str">
        <x:v>High</x:v>
      </x:c>
      <x:c r="T73" s="28" t="str">
        <x:f>IF(L73="Done","Green",IF(L73="Blocked","Red",IF(TODAY()&gt;J73,"Red",IF(M73&gt;=0.6,"Yellow","Green"))))</x:f>
        <x:v>Green</x:v>
      </x:c>
      <x:c r="U73" s="28" t="str"/>
    </x:row>
    <x:row r="74">
      <x:c r="A74" s="28" t="str">
        <x:v>SV-01-0072</x:v>
      </x:c>
      <x:c r="B74" s="28" t="str">
        <x:v>Sprint 1</x:v>
      </x:c>
      <x:c r="C74" s="28" t="str">
        <x:v>Month 1</x:v>
      </x:c>
      <x:c r="D74" s="28" t="str">
        <x:v>Technical Writer</x:v>
      </x:c>
      <x:c r="E74" s="28" t="str">
        <x:v>Manual Ops</x:v>
      </x:c>
      <x:c r="F74" s="28" t="str">
        <x:v>Dokumentasi VM manual operation</x:v>
      </x:c>
      <x:c r="G74" s="28" t="str">
        <x:v>Operation notes</x:v>
      </x:c>
      <x:c r="H74" s="28" t="str">
        <x:v>Critical</x:v>
      </x:c>
      <x:c r="I74" s="42" t="n">
        <x:f>INDEX('Sprint Plan'!$D$9:$D$20,MATCH(B74,'Sprint Plan'!$A$9:$A$20,0))</x:f>
        <x:v>46218</x:v>
      </x:c>
      <x:c r="J74" s="42" t="n">
        <x:f>INDEX('Sprint Plan'!$E$9:$E$20,MATCH(B74,'Sprint Plan'!$A$9:$A$20,0))</x:f>
        <x:v>46231</x:v>
      </x:c>
      <x:c r="K74" s="28" t="str">
        <x:v>TBD</x:v>
      </x:c>
      <x:c r="L74" s="28" t="str">
        <x:v>Not Started</x:v>
      </x:c>
      <x:c r="M74" s="43" t="n">
        <x:v>0</x:v>
      </x:c>
      <x:c r="N74" s="28" t="n">
        <x:v>1</x:v>
      </x:c>
      <x:c r="O74" s="28" t="str"/>
      <x:c r="P74" s="28" t="str"/>
      <x:c r="Q74" s="28" t="str"/>
      <x:c r="R74" s="28" t="str"/>
      <x:c r="S74" s="28" t="str">
        <x:v>High</x:v>
      </x:c>
      <x:c r="T74" s="28" t="str">
        <x:f>IF(L74="Done","Green",IF(L74="Blocked","Red",IF(TODAY()&gt;J74,"Red",IF(M74&gt;=0.6,"Yellow","Green"))))</x:f>
        <x:v>Green</x:v>
      </x:c>
      <x:c r="U74" s="28" t="str"/>
    </x:row>
    <x:row r="75">
      <x:c r="A75" s="28" t="str">
        <x:v>SV-01-0073</x:v>
      </x:c>
      <x:c r="B75" s="28" t="str">
        <x:v>Sprint 1</x:v>
      </x:c>
      <x:c r="C75" s="28" t="str">
        <x:v>Month 1</x:v>
      </x:c>
      <x:c r="D75" s="28" t="str">
        <x:v>Technical Writer</x:v>
      </x:c>
      <x:c r="E75" s="28" t="str">
        <x:v>Glossary</x:v>
      </x:c>
      <x:c r="F75" s="28" t="str">
        <x:v>Update glossary</x:v>
      </x:c>
      <x:c r="G75" s="28" t="str">
        <x:v>Glossary v1</x:v>
      </x:c>
      <x:c r="H75" s="28" t="str">
        <x:v>Critical</x:v>
      </x:c>
      <x:c r="I75" s="42" t="n">
        <x:f>INDEX('Sprint Plan'!$D$9:$D$20,MATCH(B75,'Sprint Plan'!$A$9:$A$20,0))</x:f>
        <x:v>46218</x:v>
      </x:c>
      <x:c r="J75" s="42" t="n">
        <x:f>INDEX('Sprint Plan'!$E$9:$E$20,MATCH(B75,'Sprint Plan'!$A$9:$A$20,0))</x:f>
        <x:v>46231</x:v>
      </x:c>
      <x:c r="K75" s="28" t="str">
        <x:v>TBD</x:v>
      </x:c>
      <x:c r="L75" s="28" t="str">
        <x:v>Not Started</x:v>
      </x:c>
      <x:c r="M75" s="43" t="n">
        <x:v>0</x:v>
      </x:c>
      <x:c r="N75" s="28" t="n">
        <x:v>1</x:v>
      </x:c>
      <x:c r="O75" s="28" t="str"/>
      <x:c r="P75" s="28" t="str"/>
      <x:c r="Q75" s="28" t="str"/>
      <x:c r="R75" s="28" t="str"/>
      <x:c r="S75" s="28" t="str">
        <x:v>High</x:v>
      </x:c>
      <x:c r="T75" s="28" t="str">
        <x:f>IF(L75="Done","Green",IF(L75="Blocked","Red",IF(TODAY()&gt;J75,"Red",IF(M75&gt;=0.6,"Yellow","Green"))))</x:f>
        <x:v>Green</x:v>
      </x:c>
      <x:c r="U75" s="28" t="str"/>
    </x:row>
    <x:row r="76">
      <x:c r="A76" s="28" t="str">
        <x:v>SV-01-0074</x:v>
      </x:c>
      <x:c r="B76" s="28" t="str">
        <x:v>Sprint 1</x:v>
      </x:c>
      <x:c r="C76" s="28" t="str">
        <x:v>Month 1</x:v>
      </x:c>
      <x:c r="D76" s="28" t="str">
        <x:v>Sales/Marketing/Presales</x:v>
      </x:c>
      <x:c r="E76" s="28" t="str">
        <x:v>Pitch</x:v>
      </x:c>
      <x:c r="F76" s="28" t="str">
        <x:v>Buat deck narasi Why Saft VE</x:v>
      </x:c>
      <x:c r="G76" s="28" t="str">
        <x:v>Pitch narrative</x:v>
      </x:c>
      <x:c r="H76" s="28" t="str">
        <x:v>Critical</x:v>
      </x:c>
      <x:c r="I76" s="42" t="n">
        <x:f>INDEX('Sprint Plan'!$D$9:$D$20,MATCH(B76,'Sprint Plan'!$A$9:$A$20,0))</x:f>
        <x:v>46218</x:v>
      </x:c>
      <x:c r="J76" s="42" t="n">
        <x:f>INDEX('Sprint Plan'!$E$9:$E$20,MATCH(B76,'Sprint Plan'!$A$9:$A$20,0))</x:f>
        <x:v>46231</x:v>
      </x:c>
      <x:c r="K76" s="28" t="str">
        <x:v>TBD</x:v>
      </x:c>
      <x:c r="L76" s="28" t="str">
        <x:v>Not Started</x:v>
      </x:c>
      <x:c r="M76" s="43" t="n">
        <x:v>0</x:v>
      </x:c>
      <x:c r="N76" s="28" t="n">
        <x:v>1</x:v>
      </x:c>
      <x:c r="O76" s="28" t="str"/>
      <x:c r="P76" s="28" t="str"/>
      <x:c r="Q76" s="28" t="str"/>
      <x:c r="R76" s="28" t="str"/>
      <x:c r="S76" s="28" t="str">
        <x:v>High</x:v>
      </x:c>
      <x:c r="T76" s="28" t="str">
        <x:f>IF(L76="Done","Green",IF(L76="Blocked","Red",IF(TODAY()&gt;J76,"Red",IF(M76&gt;=0.6,"Yellow","Green"))))</x:f>
        <x:v>Green</x:v>
      </x:c>
      <x:c r="U76" s="28" t="str"/>
    </x:row>
    <x:row r="77">
      <x:c r="A77" s="28" t="str">
        <x:v>SV-01-0075</x:v>
      </x:c>
      <x:c r="B77" s="28" t="str">
        <x:v>Sprint 1</x:v>
      </x:c>
      <x:c r="C77" s="28" t="str">
        <x:v>Month 1</x:v>
      </x:c>
      <x:c r="D77" s="28" t="str">
        <x:v>Sales/Marketing/Presales</x:v>
      </x:c>
      <x:c r="E77" s="28" t="str">
        <x:v>Battle Card</x:v>
      </x:c>
      <x:c r="F77" s="28" t="str">
        <x:v>Buat competitor battle card v1</x:v>
      </x:c>
      <x:c r="G77" s="28" t="str">
        <x:v>Battle card draft</x:v>
      </x:c>
      <x:c r="H77" s="28" t="str">
        <x:v>Critical</x:v>
      </x:c>
      <x:c r="I77" s="42" t="n">
        <x:f>INDEX('Sprint Plan'!$D$9:$D$20,MATCH(B77,'Sprint Plan'!$A$9:$A$20,0))</x:f>
        <x:v>46218</x:v>
      </x:c>
      <x:c r="J77" s="42" t="n">
        <x:f>INDEX('Sprint Plan'!$E$9:$E$20,MATCH(B77,'Sprint Plan'!$A$9:$A$20,0))</x:f>
        <x:v>46231</x:v>
      </x:c>
      <x:c r="K77" s="28" t="str">
        <x:v>TBD</x:v>
      </x:c>
      <x:c r="L77" s="28" t="str">
        <x:v>Not Started</x:v>
      </x:c>
      <x:c r="M77" s="43" t="n">
        <x:v>0</x:v>
      </x:c>
      <x:c r="N77" s="28" t="n">
        <x:v>1</x:v>
      </x:c>
      <x:c r="O77" s="28" t="str"/>
      <x:c r="P77" s="28" t="str"/>
      <x:c r="Q77" s="28" t="str"/>
      <x:c r="R77" s="28" t="str"/>
      <x:c r="S77" s="28" t="str">
        <x:v>High</x:v>
      </x:c>
      <x:c r="T77" s="28" t="str">
        <x:f>IF(L77="Done","Green",IF(L77="Blocked","Red",IF(TODAY()&gt;J77,"Red",IF(M77&gt;=0.6,"Yellow","Green"))))</x:f>
        <x:v>Green</x:v>
      </x:c>
      <x:c r="U77" s="28" t="str"/>
    </x:row>
    <x:row r="78">
      <x:c r="A78" s="28" t="str">
        <x:v>SV-01-0076</x:v>
      </x:c>
      <x:c r="B78" s="28" t="str">
        <x:v>Sprint 1</x:v>
      </x:c>
      <x:c r="C78" s="28" t="str">
        <x:v>Month 1</x:v>
      </x:c>
      <x:c r="D78" s="28" t="str">
        <x:v>Sales/Marketing/Presales</x:v>
      </x:c>
      <x:c r="E78" s="28" t="str">
        <x:v>Pain Point</x:v>
      </x:c>
      <x:c r="F78" s="28" t="str">
        <x:v>Buat daftar masalah customer VMware/Proxmox</x:v>
      </x:c>
      <x:c r="G78" s="28" t="str">
        <x:v>Pain point matrix</x:v>
      </x:c>
      <x:c r="H78" s="28" t="str">
        <x:v>Critical</x:v>
      </x:c>
      <x:c r="I78" s="42" t="n">
        <x:f>INDEX('Sprint Plan'!$D$9:$D$20,MATCH(B78,'Sprint Plan'!$A$9:$A$20,0))</x:f>
        <x:v>46218</x:v>
      </x:c>
      <x:c r="J78" s="42" t="n">
        <x:f>INDEX('Sprint Plan'!$E$9:$E$20,MATCH(B78,'Sprint Plan'!$A$9:$A$20,0))</x:f>
        <x:v>46231</x:v>
      </x:c>
      <x:c r="K78" s="28" t="str">
        <x:v>TBD</x:v>
      </x:c>
      <x:c r="L78" s="28" t="str">
        <x:v>Not Started</x:v>
      </x:c>
      <x:c r="M78" s="43" t="n">
        <x:v>0</x:v>
      </x:c>
      <x:c r="N78" s="28" t="n">
        <x:v>1</x:v>
      </x:c>
      <x:c r="O78" s="28" t="str"/>
      <x:c r="P78" s="28" t="str"/>
      <x:c r="Q78" s="28" t="str"/>
      <x:c r="R78" s="28" t="str"/>
      <x:c r="S78" s="28" t="str">
        <x:v>High</x:v>
      </x:c>
      <x:c r="T78" s="28" t="str">
        <x:f>IF(L78="Done","Green",IF(L78="Blocked","Red",IF(TODAY()&gt;J78,"Red",IF(M78&gt;=0.6,"Yellow","Green"))))</x:f>
        <x:v>Green</x:v>
      </x:c>
      <x:c r="U78" s="28" t="str"/>
    </x:row>
    <x:row r="79">
      <x:c r="A79" s="28" t="str">
        <x:v>SV-01-0077</x:v>
      </x:c>
      <x:c r="B79" s="28" t="str">
        <x:v>Sprint 1</x:v>
      </x:c>
      <x:c r="C79" s="28" t="str">
        <x:v>Month 1</x:v>
      </x:c>
      <x:c r="D79" s="28" t="str">
        <x:v>Sales/Marketing/Presales</x:v>
      </x:c>
      <x:c r="E79" s="28" t="str">
        <x:v>FAQ</x:v>
      </x:c>
      <x:c r="F79" s="28" t="str">
        <x:v>Buat sales FAQ awal</x:v>
      </x:c>
      <x:c r="G79" s="28" t="str">
        <x:v>Sales FAQ</x:v>
      </x:c>
      <x:c r="H79" s="28" t="str">
        <x:v>Critical</x:v>
      </x:c>
      <x:c r="I79" s="42" t="n">
        <x:f>INDEX('Sprint Plan'!$D$9:$D$20,MATCH(B79,'Sprint Plan'!$A$9:$A$20,0))</x:f>
        <x:v>46218</x:v>
      </x:c>
      <x:c r="J79" s="42" t="n">
        <x:f>INDEX('Sprint Plan'!$E$9:$E$20,MATCH(B79,'Sprint Plan'!$A$9:$A$20,0))</x:f>
        <x:v>46231</x:v>
      </x:c>
      <x:c r="K79" s="28" t="str">
        <x:v>TBD</x:v>
      </x:c>
      <x:c r="L79" s="28" t="str">
        <x:v>Not Started</x:v>
      </x:c>
      <x:c r="M79" s="43" t="n">
        <x:v>0</x:v>
      </x:c>
      <x:c r="N79" s="28" t="n">
        <x:v>1</x:v>
      </x:c>
      <x:c r="O79" s="28" t="str"/>
      <x:c r="P79" s="28" t="str"/>
      <x:c r="Q79" s="28" t="str"/>
      <x:c r="R79" s="28" t="str"/>
      <x:c r="S79" s="28" t="str">
        <x:v>High</x:v>
      </x:c>
      <x:c r="T79" s="28" t="str">
        <x:f>IF(L79="Done","Green",IF(L79="Blocked","Red",IF(TODAY()&gt;J79,"Red",IF(M79&gt;=0.6,"Yellow","Green"))))</x:f>
        <x:v>Green</x:v>
      </x:c>
      <x:c r="U79" s="28" t="str"/>
    </x:row>
    <x:row r="80">
      <x:c r="A80" s="28" t="str">
        <x:v>SV-01-0078</x:v>
      </x:c>
      <x:c r="B80" s="28" t="str">
        <x:v>Sprint 1</x:v>
      </x:c>
      <x:c r="C80" s="28" t="str">
        <x:v>Month 1</x:v>
      </x:c>
      <x:c r="D80" s="28" t="str">
        <x:v>Sales/Marketing/Presales</x:v>
      </x:c>
      <x:c r="E80" s="28" t="str">
        <x:v>Qualification</x:v>
      </x:c>
      <x:c r="F80" s="28" t="str">
        <x:v>Buat pilot qualification criteria</x:v>
      </x:c>
      <x:c r="G80" s="28" t="str">
        <x:v>Pilot qualification checklist</x:v>
      </x:c>
      <x:c r="H80" s="28" t="str">
        <x:v>Critical</x:v>
      </x:c>
      <x:c r="I80" s="42" t="n">
        <x:f>INDEX('Sprint Plan'!$D$9:$D$20,MATCH(B80,'Sprint Plan'!$A$9:$A$20,0))</x:f>
        <x:v>46218</x:v>
      </x:c>
      <x:c r="J80" s="42" t="n">
        <x:f>INDEX('Sprint Plan'!$E$9:$E$20,MATCH(B80,'Sprint Plan'!$A$9:$A$20,0))</x:f>
        <x:v>46231</x:v>
      </x:c>
      <x:c r="K80" s="28" t="str">
        <x:v>TBD</x:v>
      </x:c>
      <x:c r="L80" s="28" t="str">
        <x:v>Not Started</x:v>
      </x:c>
      <x:c r="M80" s="43" t="n">
        <x:v>0</x:v>
      </x:c>
      <x:c r="N80" s="28" t="n">
        <x:v>1</x:v>
      </x:c>
      <x:c r="O80" s="28" t="str"/>
      <x:c r="P80" s="28" t="str"/>
      <x:c r="Q80" s="28" t="str"/>
      <x:c r="R80" s="28" t="str"/>
      <x:c r="S80" s="28" t="str">
        <x:v>High</x:v>
      </x:c>
      <x:c r="T80" s="28" t="str">
        <x:f>IF(L80="Done","Green",IF(L80="Blocked","Red",IF(TODAY()&gt;J80,"Red",IF(M80&gt;=0.6,"Yellow","Green"))))</x:f>
        <x:v>Green</x:v>
      </x:c>
      <x:c r="U80" s="28" t="str"/>
    </x:row>
    <x:row r="81">
      <x:c r="A81" s="28" t="str">
        <x:v>SV-02-0079</x:v>
      </x:c>
      <x:c r="B81" s="28" t="str">
        <x:v>Sprint 2</x:v>
      </x:c>
      <x:c r="C81" s="28" t="str">
        <x:v>Month 2</x:v>
      </x:c>
      <x:c r="D81" s="28" t="str">
        <x:v>Product Owner</x:v>
      </x:c>
      <x:c r="E81" s="28" t="str">
        <x:v>Workflow</x:v>
      </x:c>
      <x:c r="F81" s="28" t="str">
        <x:v>Finalisasi workflow host dan VM list</x:v>
      </x:c>
      <x:c r="G81" s="28" t="str">
        <x:v>Workflow spec</x:v>
      </x:c>
      <x:c r="H81" s="28" t="str">
        <x:v>Critical</x:v>
      </x:c>
      <x:c r="I81" s="42" t="n">
        <x:f>INDEX('Sprint Plan'!$D$9:$D$20,MATCH(B81,'Sprint Plan'!$A$9:$A$20,0))</x:f>
        <x:v>46232</x:v>
      </x:c>
      <x:c r="J81" s="42" t="n">
        <x:f>INDEX('Sprint Plan'!$E$9:$E$20,MATCH(B81,'Sprint Plan'!$A$9:$A$20,0))</x:f>
        <x:v>46245</x:v>
      </x:c>
      <x:c r="K81" s="28" t="str">
        <x:v>TBD</x:v>
      </x:c>
      <x:c r="L81" s="28" t="str">
        <x:v>Not Started</x:v>
      </x:c>
      <x:c r="M81" s="43" t="n">
        <x:v>0</x:v>
      </x:c>
      <x:c r="N81" s="28" t="n">
        <x:v>1</x:v>
      </x:c>
      <x:c r="O81" s="28" t="str"/>
      <x:c r="P81" s="28" t="str"/>
      <x:c r="Q81" s="28" t="str"/>
      <x:c r="R81" s="28" t="str"/>
      <x:c r="S81" s="28" t="str">
        <x:v>High</x:v>
      </x:c>
      <x:c r="T81" s="28" t="str">
        <x:f>IF(L81="Done","Green",IF(L81="Blocked","Red",IF(TODAY()&gt;J81,"Red",IF(M81&gt;=0.6,"Yellow","Green"))))</x:f>
        <x:v>Green</x:v>
      </x:c>
      <x:c r="U81" s="28" t="str"/>
    </x:row>
    <x:row r="82">
      <x:c r="A82" s="28" t="str">
        <x:v>SV-02-0080</x:v>
      </x:c>
      <x:c r="B82" s="28" t="str">
        <x:v>Sprint 2</x:v>
      </x:c>
      <x:c r="C82" s="28" t="str">
        <x:v>Month 2</x:v>
      </x:c>
      <x:c r="D82" s="28" t="str">
        <x:v>Product Owner</x:v>
      </x:c>
      <x:c r="E82" s="28" t="str">
        <x:v>VM Fields</x:v>
      </x:c>
      <x:c r="F82" s="28" t="str">
        <x:v>Finalisasi field VM yang ditampilkan</x:v>
      </x:c>
      <x:c r="G82" s="28" t="str">
        <x:v>VM data requirement</x:v>
      </x:c>
      <x:c r="H82" s="28" t="str">
        <x:v>Critical</x:v>
      </x:c>
      <x:c r="I82" s="42" t="n">
        <x:f>INDEX('Sprint Plan'!$D$9:$D$20,MATCH(B82,'Sprint Plan'!$A$9:$A$20,0))</x:f>
        <x:v>46232</x:v>
      </x:c>
      <x:c r="J82" s="42" t="n">
        <x:f>INDEX('Sprint Plan'!$E$9:$E$20,MATCH(B82,'Sprint Plan'!$A$9:$A$20,0))</x:f>
        <x:v>46245</x:v>
      </x:c>
      <x:c r="K82" s="28" t="str">
        <x:v>TBD</x:v>
      </x:c>
      <x:c r="L82" s="28" t="str">
        <x:v>Not Started</x:v>
      </x:c>
      <x:c r="M82" s="43" t="n">
        <x:v>0</x:v>
      </x:c>
      <x:c r="N82" s="28" t="n">
        <x:v>1</x:v>
      </x:c>
      <x:c r="O82" s="28" t="str"/>
      <x:c r="P82" s="28" t="str"/>
      <x:c r="Q82" s="28" t="str"/>
      <x:c r="R82" s="28" t="str"/>
      <x:c r="S82" s="28" t="str">
        <x:v>High</x:v>
      </x:c>
      <x:c r="T82" s="28" t="str">
        <x:f>IF(L82="Done","Green",IF(L82="Blocked","Red",IF(TODAY()&gt;J82,"Red",IF(M82&gt;=0.6,"Yellow","Green"))))</x:f>
        <x:v>Green</x:v>
      </x:c>
      <x:c r="U82" s="28" t="str"/>
    </x:row>
    <x:row r="83">
      <x:c r="A83" s="28" t="str">
        <x:v>SV-02-0081</x:v>
      </x:c>
      <x:c r="B83" s="28" t="str">
        <x:v>Sprint 2</x:v>
      </x:c>
      <x:c r="C83" s="28" t="str">
        <x:v>Month 2</x:v>
      </x:c>
      <x:c r="D83" s="28" t="str">
        <x:v>Product Owner</x:v>
      </x:c>
      <x:c r="E83" s="28" t="str">
        <x:v>Host Fields</x:v>
      </x:c>
      <x:c r="F83" s="28" t="str">
        <x:v>Finalisasi field host yang ditampilkan</x:v>
      </x:c>
      <x:c r="G83" s="28" t="str">
        <x:v>Host data requirement</x:v>
      </x:c>
      <x:c r="H83" s="28" t="str">
        <x:v>Critical</x:v>
      </x:c>
      <x:c r="I83" s="42" t="n">
        <x:f>INDEX('Sprint Plan'!$D$9:$D$20,MATCH(B83,'Sprint Plan'!$A$9:$A$20,0))</x:f>
        <x:v>46232</x:v>
      </x:c>
      <x:c r="J83" s="42" t="n">
        <x:f>INDEX('Sprint Plan'!$E$9:$E$20,MATCH(B83,'Sprint Plan'!$A$9:$A$20,0))</x:f>
        <x:v>46245</x:v>
      </x:c>
      <x:c r="K83" s="28" t="str">
        <x:v>TBD</x:v>
      </x:c>
      <x:c r="L83" s="28" t="str">
        <x:v>Not Started</x:v>
      </x:c>
      <x:c r="M83" s="43" t="n">
        <x:v>0</x:v>
      </x:c>
      <x:c r="N83" s="28" t="n">
        <x:v>1</x:v>
      </x:c>
      <x:c r="O83" s="28" t="str"/>
      <x:c r="P83" s="28" t="str"/>
      <x:c r="Q83" s="28" t="str"/>
      <x:c r="R83" s="28" t="str"/>
      <x:c r="S83" s="28" t="str">
        <x:v>High</x:v>
      </x:c>
      <x:c r="T83" s="28" t="str">
        <x:f>IF(L83="Done","Green",IF(L83="Blocked","Red",IF(TODAY()&gt;J83,"Red",IF(M83&gt;=0.6,"Yellow","Green"))))</x:f>
        <x:v>Green</x:v>
      </x:c>
      <x:c r="U83" s="28" t="str"/>
    </x:row>
    <x:row r="84">
      <x:c r="A84" s="28" t="str">
        <x:v>SV-02-0082</x:v>
      </x:c>
      <x:c r="B84" s="28" t="str">
        <x:v>Sprint 2</x:v>
      </x:c>
      <x:c r="C84" s="28" t="str">
        <x:v>Month 2</x:v>
      </x:c>
      <x:c r="D84" s="28" t="str">
        <x:v>Product Owner</x:v>
      </x:c>
      <x:c r="E84" s="28" t="str">
        <x:v>RBAC</x:v>
      </x:c>
      <x:c r="F84" s="28" t="str">
        <x:v>Validasi requirement role admin/operator/viewer</x:v>
      </x:c>
      <x:c r="G84" s="28" t="str">
        <x:v>RBAC requirement</x:v>
      </x:c>
      <x:c r="H84" s="28" t="str">
        <x:v>Critical</x:v>
      </x:c>
      <x:c r="I84" s="42" t="n">
        <x:f>INDEX('Sprint Plan'!$D$9:$D$20,MATCH(B84,'Sprint Plan'!$A$9:$A$20,0))</x:f>
        <x:v>46232</x:v>
      </x:c>
      <x:c r="J84" s="42" t="n">
        <x:f>INDEX('Sprint Plan'!$E$9:$E$20,MATCH(B84,'Sprint Plan'!$A$9:$A$20,0))</x:f>
        <x:v>46245</x:v>
      </x:c>
      <x:c r="K84" s="28" t="str">
        <x:v>TBD</x:v>
      </x:c>
      <x:c r="L84" s="28" t="str">
        <x:v>Not Started</x:v>
      </x:c>
      <x:c r="M84" s="43" t="n">
        <x:v>0</x:v>
      </x:c>
      <x:c r="N84" s="28" t="n">
        <x:v>1</x:v>
      </x:c>
      <x:c r="O84" s="28" t="str"/>
      <x:c r="P84" s="28" t="str"/>
      <x:c r="Q84" s="28" t="str"/>
      <x:c r="R84" s="28" t="str"/>
      <x:c r="S84" s="28" t="str">
        <x:v>High</x:v>
      </x:c>
      <x:c r="T84" s="28" t="str">
        <x:f>IF(L84="Done","Green",IF(L84="Blocked","Red",IF(TODAY()&gt;J84,"Red",IF(M84&gt;=0.6,"Yellow","Green"))))</x:f>
        <x:v>Green</x:v>
      </x:c>
      <x:c r="U84" s="28" t="str"/>
    </x:row>
    <x:row r="85">
      <x:c r="A85" s="28" t="str">
        <x:v>SV-02-0083</x:v>
      </x:c>
      <x:c r="B85" s="28" t="str">
        <x:v>Sprint 2</x:v>
      </x:c>
      <x:c r="C85" s="28" t="str">
        <x:v>Month 2</x:v>
      </x:c>
      <x:c r="D85" s="28" t="str">
        <x:v>Solution Architect</x:v>
      </x:c>
      <x:c r="E85" s="28" t="str">
        <x:v>Adapter</x:v>
      </x:c>
      <x:c r="F85" s="28" t="str">
        <x:v>Desain adapter abstraction</x:v>
      </x:c>
      <x:c r="G85" s="28" t="str">
        <x:v>Adapter interface</x:v>
      </x:c>
      <x:c r="H85" s="28" t="str">
        <x:v>Critical</x:v>
      </x:c>
      <x:c r="I85" s="42" t="n">
        <x:f>INDEX('Sprint Plan'!$D$9:$D$20,MATCH(B85,'Sprint Plan'!$A$9:$A$20,0))</x:f>
        <x:v>46232</x:v>
      </x:c>
      <x:c r="J85" s="42" t="n">
        <x:f>INDEX('Sprint Plan'!$E$9:$E$20,MATCH(B85,'Sprint Plan'!$A$9:$A$20,0))</x:f>
        <x:v>46245</x:v>
      </x:c>
      <x:c r="K85" s="28" t="str">
        <x:v>TBD</x:v>
      </x:c>
      <x:c r="L85" s="28" t="str">
        <x:v>Not Started</x:v>
      </x:c>
      <x:c r="M85" s="43" t="n">
        <x:v>0</x:v>
      </x:c>
      <x:c r="N85" s="28" t="n">
        <x:v>1</x:v>
      </x:c>
      <x:c r="O85" s="28" t="str"/>
      <x:c r="P85" s="28" t="str"/>
      <x:c r="Q85" s="28" t="str"/>
      <x:c r="R85" s="28" t="str"/>
      <x:c r="S85" s="28" t="str">
        <x:v>High</x:v>
      </x:c>
      <x:c r="T85" s="28" t="str">
        <x:f>IF(L85="Done","Green",IF(L85="Blocked","Red",IF(TODAY()&gt;J85,"Red",IF(M85&gt;=0.6,"Yellow","Green"))))</x:f>
        <x:v>Green</x:v>
      </x:c>
      <x:c r="U85" s="28" t="str"/>
    </x:row>
    <x:row r="86">
      <x:c r="A86" s="28" t="str">
        <x:v>SV-02-0084</x:v>
      </x:c>
      <x:c r="B86" s="28" t="str">
        <x:v>Sprint 2</x:v>
      </x:c>
      <x:c r="C86" s="28" t="str">
        <x:v>Month 2</x:v>
      </x:c>
      <x:c r="D86" s="28" t="str">
        <x:v>Solution Architect</x:v>
      </x:c>
      <x:c r="E86" s="28" t="str">
        <x:v>Error</x:v>
      </x:c>
      <x:c r="F86" s="28" t="str">
        <x:v>Desain error mapping OpenNebula ke Saft API</x:v>
      </x:c>
      <x:c r="G86" s="28" t="str">
        <x:v>Error mapping</x:v>
      </x:c>
      <x:c r="H86" s="28" t="str">
        <x:v>Critical</x:v>
      </x:c>
      <x:c r="I86" s="42" t="n">
        <x:f>INDEX('Sprint Plan'!$D$9:$D$20,MATCH(B86,'Sprint Plan'!$A$9:$A$20,0))</x:f>
        <x:v>46232</x:v>
      </x:c>
      <x:c r="J86" s="42" t="n">
        <x:f>INDEX('Sprint Plan'!$E$9:$E$20,MATCH(B86,'Sprint Plan'!$A$9:$A$20,0))</x:f>
        <x:v>46245</x:v>
      </x:c>
      <x:c r="K86" s="28" t="str">
        <x:v>TBD</x:v>
      </x:c>
      <x:c r="L86" s="28" t="str">
        <x:v>Not Started</x:v>
      </x:c>
      <x:c r="M86" s="43" t="n">
        <x:v>0</x:v>
      </x:c>
      <x:c r="N86" s="28" t="n">
        <x:v>1</x:v>
      </x:c>
      <x:c r="O86" s="28" t="str"/>
      <x:c r="P86" s="28" t="str"/>
      <x:c r="Q86" s="28" t="str"/>
      <x:c r="R86" s="28" t="str"/>
      <x:c r="S86" s="28" t="str">
        <x:v>High</x:v>
      </x:c>
      <x:c r="T86" s="28" t="str">
        <x:f>IF(L86="Done","Green",IF(L86="Blocked","Red",IF(TODAY()&gt;J86,"Red",IF(M86&gt;=0.6,"Yellow","Green"))))</x:f>
        <x:v>Green</x:v>
      </x:c>
      <x:c r="U86" s="28" t="str"/>
    </x:row>
    <x:row r="87">
      <x:c r="A87" s="28" t="str">
        <x:v>SV-02-0085</x:v>
      </x:c>
      <x:c r="B87" s="28" t="str">
        <x:v>Sprint 2</x:v>
      </x:c>
      <x:c r="C87" s="28" t="str">
        <x:v>Month 2</x:v>
      </x:c>
      <x:c r="D87" s="28" t="str">
        <x:v>Solution Architect</x:v>
      </x:c>
      <x:c r="E87" s="28" t="str">
        <x:v>Sync</x:v>
      </x:c>
      <x:c r="F87" s="28" t="str">
        <x:v>Desain sync data engine ke Saft DB</x:v>
      </x:c>
      <x:c r="G87" s="28" t="str">
        <x:v>Sync design</x:v>
      </x:c>
      <x:c r="H87" s="28" t="str">
        <x:v>Critical</x:v>
      </x:c>
      <x:c r="I87" s="42" t="n">
        <x:f>INDEX('Sprint Plan'!$D$9:$D$20,MATCH(B87,'Sprint Plan'!$A$9:$A$20,0))</x:f>
        <x:v>46232</x:v>
      </x:c>
      <x:c r="J87" s="42" t="n">
        <x:f>INDEX('Sprint Plan'!$E$9:$E$20,MATCH(B87,'Sprint Plan'!$A$9:$A$20,0))</x:f>
        <x:v>46245</x:v>
      </x:c>
      <x:c r="K87" s="28" t="str">
        <x:v>TBD</x:v>
      </x:c>
      <x:c r="L87" s="28" t="str">
        <x:v>Not Started</x:v>
      </x:c>
      <x:c r="M87" s="43" t="n">
        <x:v>0</x:v>
      </x:c>
      <x:c r="N87" s="28" t="n">
        <x:v>1</x:v>
      </x:c>
      <x:c r="O87" s="28" t="str"/>
      <x:c r="P87" s="28" t="str"/>
      <x:c r="Q87" s="28" t="str"/>
      <x:c r="R87" s="28" t="str"/>
      <x:c r="S87" s="28" t="str">
        <x:v>High</x:v>
      </x:c>
      <x:c r="T87" s="28" t="str">
        <x:f>IF(L87="Done","Green",IF(L87="Blocked","Red",IF(TODAY()&gt;J87,"Red",IF(M87&gt;=0.6,"Yellow","Green"))))</x:f>
        <x:v>Green</x:v>
      </x:c>
      <x:c r="U87" s="28" t="str"/>
    </x:row>
    <x:row r="88">
      <x:c r="A88" s="28" t="str">
        <x:v>SV-02-0086</x:v>
      </x:c>
      <x:c r="B88" s="28" t="str">
        <x:v>Sprint 2</x:v>
      </x:c>
      <x:c r="C88" s="28" t="str">
        <x:v>Month 2</x:v>
      </x:c>
      <x:c r="D88" s="28" t="str">
        <x:v>Solution Architect</x:v>
      </x:c>
      <x:c r="E88" s="28" t="str">
        <x:v>Job</x:v>
      </x:c>
      <x:c r="F88" s="28" t="str">
        <x:v>Desain job status pattern</x:v>
      </x:c>
      <x:c r="G88" s="28" t="str">
        <x:v>Job design</x:v>
      </x:c>
      <x:c r="H88" s="28" t="str">
        <x:v>Critical</x:v>
      </x:c>
      <x:c r="I88" s="42" t="n">
        <x:f>INDEX('Sprint Plan'!$D$9:$D$20,MATCH(B88,'Sprint Plan'!$A$9:$A$20,0))</x:f>
        <x:v>46232</x:v>
      </x:c>
      <x:c r="J88" s="42" t="n">
        <x:f>INDEX('Sprint Plan'!$E$9:$E$20,MATCH(B88,'Sprint Plan'!$A$9:$A$20,0))</x:f>
        <x:v>46245</x:v>
      </x:c>
      <x:c r="K88" s="28" t="str">
        <x:v>TBD</x:v>
      </x:c>
      <x:c r="L88" s="28" t="str">
        <x:v>Not Started</x:v>
      </x:c>
      <x:c r="M88" s="43" t="n">
        <x:v>0</x:v>
      </x:c>
      <x:c r="N88" s="28" t="n">
        <x:v>1</x:v>
      </x:c>
      <x:c r="O88" s="28" t="str"/>
      <x:c r="P88" s="28" t="str"/>
      <x:c r="Q88" s="28" t="str"/>
      <x:c r="R88" s="28" t="str"/>
      <x:c r="S88" s="28" t="str">
        <x:v>High</x:v>
      </x:c>
      <x:c r="T88" s="28" t="str">
        <x:f>IF(L88="Done","Green",IF(L88="Blocked","Red",IF(TODAY()&gt;J88,"Red",IF(M88&gt;=0.6,"Yellow","Green"))))</x:f>
        <x:v>Green</x:v>
      </x:c>
      <x:c r="U88" s="28" t="str"/>
    </x:row>
    <x:row r="89">
      <x:c r="A89" s="28" t="str">
        <x:v>SV-02-0087</x:v>
      </x:c>
      <x:c r="B89" s="28" t="str">
        <x:v>Sprint 2</x:v>
      </x:c>
      <x:c r="C89" s="28" t="str">
        <x:v>Month 2</x:v>
      </x:c>
      <x:c r="D89" s="28" t="str">
        <x:v>Solution Architect</x:v>
      </x:c>
      <x:c r="E89" s="28" t="str">
        <x:v>Security</x:v>
      </x:c>
      <x:c r="F89" s="28" t="str">
        <x:v>Review API security</x:v>
      </x:c>
      <x:c r="G89" s="28" t="str">
        <x:v>Security review</x:v>
      </x:c>
      <x:c r="H89" s="28" t="str">
        <x:v>Critical</x:v>
      </x:c>
      <x:c r="I89" s="42" t="n">
        <x:f>INDEX('Sprint Plan'!$D$9:$D$20,MATCH(B89,'Sprint Plan'!$A$9:$A$20,0))</x:f>
        <x:v>46232</x:v>
      </x:c>
      <x:c r="J89" s="42" t="n">
        <x:f>INDEX('Sprint Plan'!$E$9:$E$20,MATCH(B89,'Sprint Plan'!$A$9:$A$20,0))</x:f>
        <x:v>46245</x:v>
      </x:c>
      <x:c r="K89" s="28" t="str">
        <x:v>TBD</x:v>
      </x:c>
      <x:c r="L89" s="28" t="str">
        <x:v>Not Started</x:v>
      </x:c>
      <x:c r="M89" s="43" t="n">
        <x:v>0</x:v>
      </x:c>
      <x:c r="N89" s="28" t="n">
        <x:v>1</x:v>
      </x:c>
      <x:c r="O89" s="28" t="str"/>
      <x:c r="P89" s="28" t="str"/>
      <x:c r="Q89" s="28" t="str"/>
      <x:c r="R89" s="28" t="str"/>
      <x:c r="S89" s="28" t="str">
        <x:v>High</x:v>
      </x:c>
      <x:c r="T89" s="28" t="str">
        <x:f>IF(L89="Done","Green",IF(L89="Blocked","Red",IF(TODAY()&gt;J89,"Red",IF(M89&gt;=0.6,"Yellow","Green"))))</x:f>
        <x:v>Green</x:v>
      </x:c>
      <x:c r="U89" s="28" t="str"/>
    </x:row>
    <x:row r="90">
      <x:c r="A90" s="28" t="str">
        <x:v>SV-02-0088</x:v>
      </x:c>
      <x:c r="B90" s="28" t="str">
        <x:v>Sprint 2</x:v>
      </x:c>
      <x:c r="C90" s="28" t="str">
        <x:v>Month 2</x:v>
      </x:c>
      <x:c r="D90" s="28" t="str">
        <x:v>Infra/OpenNebula Engineer</x:v>
      </x:c>
      <x:c r="E90" s="28" t="str">
        <x:v>Service Account</x:v>
      </x:c>
      <x:c r="F90" s="28" t="str">
        <x:v>Buat service account OpenNebula</x:v>
      </x:c>
      <x:c r="G90" s="28" t="str">
        <x:v>Service account</x:v>
      </x:c>
      <x:c r="H90" s="28" t="str">
        <x:v>Critical</x:v>
      </x:c>
      <x:c r="I90" s="42" t="n">
        <x:f>INDEX('Sprint Plan'!$D$9:$D$20,MATCH(B90,'Sprint Plan'!$A$9:$A$20,0))</x:f>
        <x:v>46232</x:v>
      </x:c>
      <x:c r="J90" s="42" t="n">
        <x:f>INDEX('Sprint Plan'!$E$9:$E$20,MATCH(B90,'Sprint Plan'!$A$9:$A$20,0))</x:f>
        <x:v>46245</x:v>
      </x:c>
      <x:c r="K90" s="28" t="str">
        <x:v>TBD</x:v>
      </x:c>
      <x:c r="L90" s="28" t="str">
        <x:v>Not Started</x:v>
      </x:c>
      <x:c r="M90" s="43" t="n">
        <x:v>0</x:v>
      </x:c>
      <x:c r="N90" s="28" t="n">
        <x:v>1</x:v>
      </x:c>
      <x:c r="O90" s="28" t="str"/>
      <x:c r="P90" s="28" t="str"/>
      <x:c r="Q90" s="28" t="str"/>
      <x:c r="R90" s="28" t="str"/>
      <x:c r="S90" s="28" t="str">
        <x:v>High</x:v>
      </x:c>
      <x:c r="T90" s="28" t="str">
        <x:f>IF(L90="Done","Green",IF(L90="Blocked","Red",IF(TODAY()&gt;J90,"Red",IF(M90&gt;=0.6,"Yellow","Green"))))</x:f>
        <x:v>Green</x:v>
      </x:c>
      <x:c r="U90" s="28" t="str"/>
    </x:row>
    <x:row r="91">
      <x:c r="A91" s="28" t="str">
        <x:v>SV-02-0089</x:v>
      </x:c>
      <x:c r="B91" s="28" t="str">
        <x:v>Sprint 2</x:v>
      </x:c>
      <x:c r="C91" s="28" t="str">
        <x:v>Month 2</x:v>
      </x:c>
      <x:c r="D91" s="28" t="str">
        <x:v>Infra/OpenNebula Engineer</x:v>
      </x:c>
      <x:c r="E91" s="28" t="str">
        <x:v>Permission</x:v>
      </x:c>
      <x:c r="F91" s="28" t="str">
        <x:v>Set permission service account</x:v>
      </x:c>
      <x:c r="G91" s="28" t="str">
        <x:v>Permission ready</x:v>
      </x:c>
      <x:c r="H91" s="28" t="str">
        <x:v>Critical</x:v>
      </x:c>
      <x:c r="I91" s="42" t="n">
        <x:f>INDEX('Sprint Plan'!$D$9:$D$20,MATCH(B91,'Sprint Plan'!$A$9:$A$20,0))</x:f>
        <x:v>46232</x:v>
      </x:c>
      <x:c r="J91" s="42" t="n">
        <x:f>INDEX('Sprint Plan'!$E$9:$E$20,MATCH(B91,'Sprint Plan'!$A$9:$A$20,0))</x:f>
        <x:v>46245</x:v>
      </x:c>
      <x:c r="K91" s="28" t="str">
        <x:v>TBD</x:v>
      </x:c>
      <x:c r="L91" s="28" t="str">
        <x:v>Not Started</x:v>
      </x:c>
      <x:c r="M91" s="43" t="n">
        <x:v>0</x:v>
      </x:c>
      <x:c r="N91" s="28" t="n">
        <x:v>1</x:v>
      </x:c>
      <x:c r="O91" s="28" t="str"/>
      <x:c r="P91" s="28" t="str"/>
      <x:c r="Q91" s="28" t="str"/>
      <x:c r="R91" s="28" t="str"/>
      <x:c r="S91" s="28" t="str">
        <x:v>High</x:v>
      </x:c>
      <x:c r="T91" s="28" t="str">
        <x:f>IF(L91="Done","Green",IF(L91="Blocked","Red",IF(TODAY()&gt;J91,"Red",IF(M91&gt;=0.6,"Yellow","Green"))))</x:f>
        <x:v>Green</x:v>
      </x:c>
      <x:c r="U91" s="28" t="str"/>
    </x:row>
    <x:row r="92">
      <x:c r="A92" s="28" t="str">
        <x:v>SV-02-0090</x:v>
      </x:c>
      <x:c r="B92" s="28" t="str">
        <x:v>Sprint 2</x:v>
      </x:c>
      <x:c r="C92" s="28" t="str">
        <x:v>Month 2</x:v>
      </x:c>
      <x:c r="D92" s="28" t="str">
        <x:v>Infra/OpenNebula Engineer</x:v>
      </x:c>
      <x:c r="E92" s="28" t="str">
        <x:v>Endpoint</x:v>
      </x:c>
      <x:c r="F92" s="28" t="str">
        <x:v>Siapkan API endpoint access</x:v>
      </x:c>
      <x:c r="G92" s="28" t="str">
        <x:v>API reachable</x:v>
      </x:c>
      <x:c r="H92" s="28" t="str">
        <x:v>Critical</x:v>
      </x:c>
      <x:c r="I92" s="42" t="n">
        <x:f>INDEX('Sprint Plan'!$D$9:$D$20,MATCH(B92,'Sprint Plan'!$A$9:$A$20,0))</x:f>
        <x:v>46232</x:v>
      </x:c>
      <x:c r="J92" s="42" t="n">
        <x:f>INDEX('Sprint Plan'!$E$9:$E$20,MATCH(B92,'Sprint Plan'!$A$9:$A$20,0))</x:f>
        <x:v>46245</x:v>
      </x:c>
      <x:c r="K92" s="28" t="str">
        <x:v>TBD</x:v>
      </x:c>
      <x:c r="L92" s="28" t="str">
        <x:v>Not Started</x:v>
      </x:c>
      <x:c r="M92" s="43" t="n">
        <x:v>0</x:v>
      </x:c>
      <x:c r="N92" s="28" t="n">
        <x:v>1</x:v>
      </x:c>
      <x:c r="O92" s="28" t="str"/>
      <x:c r="P92" s="28" t="str"/>
      <x:c r="Q92" s="28" t="str"/>
      <x:c r="R92" s="28" t="str"/>
      <x:c r="S92" s="28" t="str">
        <x:v>High</x:v>
      </x:c>
      <x:c r="T92" s="28" t="str">
        <x:f>IF(L92="Done","Green",IF(L92="Blocked","Red",IF(TODAY()&gt;J92,"Red",IF(M92&gt;=0.6,"Yellow","Green"))))</x:f>
        <x:v>Green</x:v>
      </x:c>
      <x:c r="U92" s="28" t="str"/>
    </x:row>
    <x:row r="93">
      <x:c r="A93" s="28" t="str">
        <x:v>SV-02-0091</x:v>
      </x:c>
      <x:c r="B93" s="28" t="str">
        <x:v>Sprint 2</x:v>
      </x:c>
      <x:c r="C93" s="28" t="str">
        <x:v>Month 2</x:v>
      </x:c>
      <x:c r="D93" s="28" t="str">
        <x:v>Infra/OpenNebula Engineer</x:v>
      </x:c>
      <x:c r="E93" s="28" t="str">
        <x:v>Token</x:v>
      </x:c>
      <x:c r="F93" s="28" t="str">
        <x:v>Validasi API token/session</x:v>
      </x:c>
      <x:c r="G93" s="28" t="str">
        <x:v>API auth verified</x:v>
      </x:c>
      <x:c r="H93" s="28" t="str">
        <x:v>Critical</x:v>
      </x:c>
      <x:c r="I93" s="42" t="n">
        <x:f>INDEX('Sprint Plan'!$D$9:$D$20,MATCH(B93,'Sprint Plan'!$A$9:$A$20,0))</x:f>
        <x:v>46232</x:v>
      </x:c>
      <x:c r="J93" s="42" t="n">
        <x:f>INDEX('Sprint Plan'!$E$9:$E$20,MATCH(B93,'Sprint Plan'!$A$9:$A$20,0))</x:f>
        <x:v>46245</x:v>
      </x:c>
      <x:c r="K93" s="28" t="str">
        <x:v>TBD</x:v>
      </x:c>
      <x:c r="L93" s="28" t="str">
        <x:v>Not Started</x:v>
      </x:c>
      <x:c r="M93" s="43" t="n">
        <x:v>0</x:v>
      </x:c>
      <x:c r="N93" s="28" t="n">
        <x:v>1</x:v>
      </x:c>
      <x:c r="O93" s="28" t="str"/>
      <x:c r="P93" s="28" t="str"/>
      <x:c r="Q93" s="28" t="str"/>
      <x:c r="R93" s="28" t="str"/>
      <x:c r="S93" s="28" t="str">
        <x:v>High</x:v>
      </x:c>
      <x:c r="T93" s="28" t="str">
        <x:f>IF(L93="Done","Green",IF(L93="Blocked","Red",IF(TODAY()&gt;J93,"Red",IF(M93&gt;=0.6,"Yellow","Green"))))</x:f>
        <x:v>Green</x:v>
      </x:c>
      <x:c r="U93" s="28" t="str"/>
    </x:row>
    <x:row r="94">
      <x:c r="A94" s="28" t="str">
        <x:v>SV-02-0092</x:v>
      </x:c>
      <x:c r="B94" s="28" t="str">
        <x:v>Sprint 2</x:v>
      </x:c>
      <x:c r="C94" s="28" t="str">
        <x:v>Month 2</x:v>
      </x:c>
      <x:c r="D94" s="28" t="str">
        <x:v>Infra/OpenNebula Engineer</x:v>
      </x:c>
      <x:c r="E94" s="28" t="str">
        <x:v>CLI</x:v>
      </x:c>
      <x:c r="F94" s="28" t="str">
        <x:v>Test OpenNebula CLI/API</x:v>
      </x:c>
      <x:c r="G94" s="28" t="str">
        <x:v>API test result</x:v>
      </x:c>
      <x:c r="H94" s="28" t="str">
        <x:v>Critical</x:v>
      </x:c>
      <x:c r="I94" s="42" t="n">
        <x:f>INDEX('Sprint Plan'!$D$9:$D$20,MATCH(B94,'Sprint Plan'!$A$9:$A$20,0))</x:f>
        <x:v>46232</x:v>
      </x:c>
      <x:c r="J94" s="42" t="n">
        <x:f>INDEX('Sprint Plan'!$E$9:$E$20,MATCH(B94,'Sprint Plan'!$A$9:$A$20,0))</x:f>
        <x:v>46245</x:v>
      </x:c>
      <x:c r="K94" s="28" t="str">
        <x:v>TBD</x:v>
      </x:c>
      <x:c r="L94" s="28" t="str">
        <x:v>Not Started</x:v>
      </x:c>
      <x:c r="M94" s="43" t="n">
        <x:v>0</x:v>
      </x:c>
      <x:c r="N94" s="28" t="n">
        <x:v>1</x:v>
      </x:c>
      <x:c r="O94" s="28" t="str"/>
      <x:c r="P94" s="28" t="str"/>
      <x:c r="Q94" s="28" t="str"/>
      <x:c r="R94" s="28" t="str"/>
      <x:c r="S94" s="28" t="str">
        <x:v>High</x:v>
      </x:c>
      <x:c r="T94" s="28" t="str">
        <x:f>IF(L94="Done","Green",IF(L94="Blocked","Red",IF(TODAY()&gt;J94,"Red",IF(M94&gt;=0.6,"Yellow","Green"))))</x:f>
        <x:v>Green</x:v>
      </x:c>
      <x:c r="U94" s="28" t="str"/>
    </x:row>
    <x:row r="95">
      <x:c r="A95" s="28" t="str">
        <x:v>SV-02-0093</x:v>
      </x:c>
      <x:c r="B95" s="28" t="str">
        <x:v>Sprint 2</x:v>
      </x:c>
      <x:c r="C95" s="28" t="str">
        <x:v>Month 2</x:v>
      </x:c>
      <x:c r="D95" s="28" t="str">
        <x:v>Backend Engineer</x:v>
      </x:c>
      <x:c r="E95" s="28" t="str">
        <x:v>Auth</x:v>
      </x:c>
      <x:c r="F95" s="28" t="str">
        <x:v>Implement auth admin basic dan JWT</x:v>
      </x:c>
      <x:c r="G95" s="28" t="str">
        <x:v>Login API</x:v>
      </x:c>
      <x:c r="H95" s="28" t="str">
        <x:v>Critical</x:v>
      </x:c>
      <x:c r="I95" s="42" t="n">
        <x:f>INDEX('Sprint Plan'!$D$9:$D$20,MATCH(B95,'Sprint Plan'!$A$9:$A$20,0))</x:f>
        <x:v>46232</x:v>
      </x:c>
      <x:c r="J95" s="42" t="n">
        <x:f>INDEX('Sprint Plan'!$E$9:$E$20,MATCH(B95,'Sprint Plan'!$A$9:$A$20,0))</x:f>
        <x:v>46245</x:v>
      </x:c>
      <x:c r="K95" s="28" t="str">
        <x:v>TBD</x:v>
      </x:c>
      <x:c r="L95" s="28" t="str">
        <x:v>Not Started</x:v>
      </x:c>
      <x:c r="M95" s="43" t="n">
        <x:v>0</x:v>
      </x:c>
      <x:c r="N95" s="28" t="n">
        <x:v>1</x:v>
      </x:c>
      <x:c r="O95" s="28" t="str"/>
      <x:c r="P95" s="28" t="str"/>
      <x:c r="Q95" s="28" t="str"/>
      <x:c r="R95" s="28" t="str"/>
      <x:c r="S95" s="28" t="str">
        <x:v>High</x:v>
      </x:c>
      <x:c r="T95" s="28" t="str">
        <x:f>IF(L95="Done","Green",IF(L95="Blocked","Red",IF(TODAY()&gt;J95,"Red",IF(M95&gt;=0.6,"Yellow","Green"))))</x:f>
        <x:v>Green</x:v>
      </x:c>
      <x:c r="U95" s="28" t="str"/>
    </x:row>
    <x:row r="96">
      <x:c r="A96" s="28" t="str">
        <x:v>SV-02-0094</x:v>
      </x:c>
      <x:c r="B96" s="28" t="str">
        <x:v>Sprint 2</x:v>
      </x:c>
      <x:c r="C96" s="28" t="str">
        <x:v>Month 2</x:v>
      </x:c>
      <x:c r="D96" s="28" t="str">
        <x:v>Backend Engineer</x:v>
      </x:c>
      <x:c r="E96" s="28" t="str">
        <x:v>Host Sync</x:v>
      </x:c>
      <x:c r="F96" s="28" t="str">
        <x:v>Implement host sync ke database</x:v>
      </x:c>
      <x:c r="G96" s="28" t="str">
        <x:v>Host data in DB</x:v>
      </x:c>
      <x:c r="H96" s="28" t="str">
        <x:v>Critical</x:v>
      </x:c>
      <x:c r="I96" s="42" t="n">
        <x:f>INDEX('Sprint Plan'!$D$9:$D$20,MATCH(B96,'Sprint Plan'!$A$9:$A$20,0))</x:f>
        <x:v>46232</x:v>
      </x:c>
      <x:c r="J96" s="42" t="n">
        <x:f>INDEX('Sprint Plan'!$E$9:$E$20,MATCH(B96,'Sprint Plan'!$A$9:$A$20,0))</x:f>
        <x:v>46245</x:v>
      </x:c>
      <x:c r="K96" s="28" t="str">
        <x:v>TBD</x:v>
      </x:c>
      <x:c r="L96" s="28" t="str">
        <x:v>Not Started</x:v>
      </x:c>
      <x:c r="M96" s="43" t="n">
        <x:v>0</x:v>
      </x:c>
      <x:c r="N96" s="28" t="n">
        <x:v>1</x:v>
      </x:c>
      <x:c r="O96" s="28" t="str"/>
      <x:c r="P96" s="28" t="str"/>
      <x:c r="Q96" s="28" t="str"/>
      <x:c r="R96" s="28" t="str"/>
      <x:c r="S96" s="28" t="str">
        <x:v>High</x:v>
      </x:c>
      <x:c r="T96" s="28" t="str">
        <x:f>IF(L96="Done","Green",IF(L96="Blocked","Red",IF(TODAY()&gt;J96,"Red",IF(M96&gt;=0.6,"Yellow","Green"))))</x:f>
        <x:v>Green</x:v>
      </x:c>
      <x:c r="U96" s="28" t="str"/>
    </x:row>
    <x:row r="97">
      <x:c r="A97" s="28" t="str">
        <x:v>SV-02-0095</x:v>
      </x:c>
      <x:c r="B97" s="28" t="str">
        <x:v>Sprint 2</x:v>
      </x:c>
      <x:c r="C97" s="28" t="str">
        <x:v>Month 2</x:v>
      </x:c>
      <x:c r="D97" s="28" t="str">
        <x:v>Backend Engineer</x:v>
      </x:c>
      <x:c r="E97" s="28" t="str">
        <x:v>VM Sync</x:v>
      </x:c>
      <x:c r="F97" s="28" t="str">
        <x:v>Implement VM sync ke database</x:v>
      </x:c>
      <x:c r="G97" s="28" t="str">
        <x:v>VM data in DB</x:v>
      </x:c>
      <x:c r="H97" s="28" t="str">
        <x:v>Critical</x:v>
      </x:c>
      <x:c r="I97" s="42" t="n">
        <x:f>INDEX('Sprint Plan'!$D$9:$D$20,MATCH(B97,'Sprint Plan'!$A$9:$A$20,0))</x:f>
        <x:v>46232</x:v>
      </x:c>
      <x:c r="J97" s="42" t="n">
        <x:f>INDEX('Sprint Plan'!$E$9:$E$20,MATCH(B97,'Sprint Plan'!$A$9:$A$20,0))</x:f>
        <x:v>46245</x:v>
      </x:c>
      <x:c r="K97" s="28" t="str">
        <x:v>TBD</x:v>
      </x:c>
      <x:c r="L97" s="28" t="str">
        <x:v>Not Started</x:v>
      </x:c>
      <x:c r="M97" s="43" t="n">
        <x:v>0</x:v>
      </x:c>
      <x:c r="N97" s="28" t="n">
        <x:v>1</x:v>
      </x:c>
      <x:c r="O97" s="28" t="str"/>
      <x:c r="P97" s="28" t="str"/>
      <x:c r="Q97" s="28" t="str"/>
      <x:c r="R97" s="28" t="str"/>
      <x:c r="S97" s="28" t="str">
        <x:v>High</x:v>
      </x:c>
      <x:c r="T97" s="28" t="str">
        <x:f>IF(L97="Done","Green",IF(L97="Blocked","Red",IF(TODAY()&gt;J97,"Red",IF(M97&gt;=0.6,"Yellow","Green"))))</x:f>
        <x:v>Green</x:v>
      </x:c>
      <x:c r="U97" s="28" t="str"/>
    </x:row>
    <x:row r="98">
      <x:c r="A98" s="28" t="str">
        <x:v>SV-02-0096</x:v>
      </x:c>
      <x:c r="B98" s="28" t="str">
        <x:v>Sprint 2</x:v>
      </x:c>
      <x:c r="C98" s="28" t="str">
        <x:v>Month 2</x:v>
      </x:c>
      <x:c r="D98" s="28" t="str">
        <x:v>Backend Engineer</x:v>
      </x:c>
      <x:c r="E98" s="28" t="str">
        <x:v>API</x:v>
      </x:c>
      <x:c r="F98" s="28" t="str">
        <x:v>Implement /api/hosts, /api/vms, /api/vms/:id</x:v>
      </x:c>
      <x:c r="G98" s="28" t="str">
        <x:v>Host/VM APIs</x:v>
      </x:c>
      <x:c r="H98" s="28" t="str">
        <x:v>Critical</x:v>
      </x:c>
      <x:c r="I98" s="42" t="n">
        <x:f>INDEX('Sprint Plan'!$D$9:$D$20,MATCH(B98,'Sprint Plan'!$A$9:$A$20,0))</x:f>
        <x:v>46232</x:v>
      </x:c>
      <x:c r="J98" s="42" t="n">
        <x:f>INDEX('Sprint Plan'!$E$9:$E$20,MATCH(B98,'Sprint Plan'!$A$9:$A$20,0))</x:f>
        <x:v>46245</x:v>
      </x:c>
      <x:c r="K98" s="28" t="str">
        <x:v>TBD</x:v>
      </x:c>
      <x:c r="L98" s="28" t="str">
        <x:v>Not Started</x:v>
      </x:c>
      <x:c r="M98" s="43" t="n">
        <x:v>0</x:v>
      </x:c>
      <x:c r="N98" s="28" t="n">
        <x:v>1</x:v>
      </x:c>
      <x:c r="O98" s="28" t="str"/>
      <x:c r="P98" s="28" t="str"/>
      <x:c r="Q98" s="28" t="str"/>
      <x:c r="R98" s="28" t="str"/>
      <x:c r="S98" s="28" t="str">
        <x:v>High</x:v>
      </x:c>
      <x:c r="T98" s="28" t="str">
        <x:f>IF(L98="Done","Green",IF(L98="Blocked","Red",IF(TODAY()&gt;J98,"Red",IF(M98&gt;=0.6,"Yellow","Green"))))</x:f>
        <x:v>Green</x:v>
      </x:c>
      <x:c r="U98" s="28" t="str"/>
    </x:row>
    <x:row r="99">
      <x:c r="A99" s="28" t="str">
        <x:v>SV-02-0097</x:v>
      </x:c>
      <x:c r="B99" s="28" t="str">
        <x:v>Sprint 2</x:v>
      </x:c>
      <x:c r="C99" s="28" t="str">
        <x:v>Month 2</x:v>
      </x:c>
      <x:c r="D99" s="28" t="str">
        <x:v>Backend Engineer</x:v>
      </x:c>
      <x:c r="E99" s="28" t="str">
        <x:v>Audit</x:v>
      </x:c>
      <x:c r="F99" s="28" t="str">
        <x:v>Implement audit log basic dan Swagger docs</x:v>
      </x:c>
      <x:c r="G99" s="28" t="str">
        <x:v>Audit/API docs</x:v>
      </x:c>
      <x:c r="H99" s="28" t="str">
        <x:v>Critical</x:v>
      </x:c>
      <x:c r="I99" s="42" t="n">
        <x:f>INDEX('Sprint Plan'!$D$9:$D$20,MATCH(B99,'Sprint Plan'!$A$9:$A$20,0))</x:f>
        <x:v>46232</x:v>
      </x:c>
      <x:c r="J99" s="42" t="n">
        <x:f>INDEX('Sprint Plan'!$E$9:$E$20,MATCH(B99,'Sprint Plan'!$A$9:$A$20,0))</x:f>
        <x:v>46245</x:v>
      </x:c>
      <x:c r="K99" s="28" t="str">
        <x:v>TBD</x:v>
      </x:c>
      <x:c r="L99" s="28" t="str">
        <x:v>Not Started</x:v>
      </x:c>
      <x:c r="M99" s="43" t="n">
        <x:v>0</x:v>
      </x:c>
      <x:c r="N99" s="28" t="n">
        <x:v>1</x:v>
      </x:c>
      <x:c r="O99" s="28" t="str"/>
      <x:c r="P99" s="28" t="str"/>
      <x:c r="Q99" s="28" t="str"/>
      <x:c r="R99" s="28" t="str"/>
      <x:c r="S99" s="28" t="str">
        <x:v>High</x:v>
      </x:c>
      <x:c r="T99" s="28" t="str">
        <x:f>IF(L99="Done","Green",IF(L99="Blocked","Red",IF(TODAY()&gt;J99,"Red",IF(M99&gt;=0.6,"Yellow","Green"))))</x:f>
        <x:v>Green</x:v>
      </x:c>
      <x:c r="U99" s="28" t="str"/>
    </x:row>
    <x:row r="100">
      <x:c r="A100" s="28" t="str">
        <x:v>SV-02-0098</x:v>
      </x:c>
      <x:c r="B100" s="28" t="str">
        <x:v>Sprint 2</x:v>
      </x:c>
      <x:c r="C100" s="28" t="str">
        <x:v>Month 2</x:v>
      </x:c>
      <x:c r="D100" s="28" t="str">
        <x:v>Frontend Engineer</x:v>
      </x:c>
      <x:c r="E100" s="28" t="str">
        <x:v>Login</x:v>
      </x:c>
      <x:c r="F100" s="28" t="str">
        <x:v>Integrasi login ke API</x:v>
      </x:c>
      <x:c r="G100" s="28" t="str">
        <x:v>Login functional</x:v>
      </x:c>
      <x:c r="H100" s="28" t="str">
        <x:v>Critical</x:v>
      </x:c>
      <x:c r="I100" s="42" t="n">
        <x:f>INDEX('Sprint Plan'!$D$9:$D$20,MATCH(B100,'Sprint Plan'!$A$9:$A$20,0))</x:f>
        <x:v>46232</x:v>
      </x:c>
      <x:c r="J100" s="42" t="n">
        <x:f>INDEX('Sprint Plan'!$E$9:$E$20,MATCH(B100,'Sprint Plan'!$A$9:$A$20,0))</x:f>
        <x:v>46245</x:v>
      </x:c>
      <x:c r="K100" s="28" t="str">
        <x:v>TBD</x:v>
      </x:c>
      <x:c r="L100" s="28" t="str">
        <x:v>Not Started</x:v>
      </x:c>
      <x:c r="M100" s="43" t="n">
        <x:v>0</x:v>
      </x:c>
      <x:c r="N100" s="28" t="n">
        <x:v>1</x:v>
      </x:c>
      <x:c r="O100" s="28" t="str"/>
      <x:c r="P100" s="28" t="str"/>
      <x:c r="Q100" s="28" t="str"/>
      <x:c r="R100" s="28" t="str"/>
      <x:c r="S100" s="28" t="str">
        <x:v>High</x:v>
      </x:c>
      <x:c r="T100" s="28" t="str">
        <x:f>IF(L100="Done","Green",IF(L100="Blocked","Red",IF(TODAY()&gt;J100,"Red",IF(M100&gt;=0.6,"Yellow","Green"))))</x:f>
        <x:v>Green</x:v>
      </x:c>
      <x:c r="U100" s="28" t="str"/>
    </x:row>
    <x:row r="101">
      <x:c r="A101" s="28" t="str">
        <x:v>SV-02-0099</x:v>
      </x:c>
      <x:c r="B101" s="28" t="str">
        <x:v>Sprint 2</x:v>
      </x:c>
      <x:c r="C101" s="28" t="str">
        <x:v>Month 2</x:v>
      </x:c>
      <x:c r="D101" s="28" t="str">
        <x:v>Frontend Engineer</x:v>
      </x:c>
      <x:c r="E101" s="28" t="str">
        <x:v>Host</x:v>
      </x:c>
      <x:c r="F101" s="28" t="str">
        <x:v>Integrasi host list ke API</x:v>
      </x:c>
      <x:c r="G101" s="28" t="str">
        <x:v>Host list dynamic</x:v>
      </x:c>
      <x:c r="H101" s="28" t="str">
        <x:v>Critical</x:v>
      </x:c>
      <x:c r="I101" s="42" t="n">
        <x:f>INDEX('Sprint Plan'!$D$9:$D$20,MATCH(B101,'Sprint Plan'!$A$9:$A$20,0))</x:f>
        <x:v>46232</x:v>
      </x:c>
      <x:c r="J101" s="42" t="n">
        <x:f>INDEX('Sprint Plan'!$E$9:$E$20,MATCH(B101,'Sprint Plan'!$A$9:$A$20,0))</x:f>
        <x:v>46245</x:v>
      </x:c>
      <x:c r="K101" s="28" t="str">
        <x:v>TBD</x:v>
      </x:c>
      <x:c r="L101" s="28" t="str">
        <x:v>Not Started</x:v>
      </x:c>
      <x:c r="M101" s="43" t="n">
        <x:v>0</x:v>
      </x:c>
      <x:c r="N101" s="28" t="n">
        <x:v>1</x:v>
      </x:c>
      <x:c r="O101" s="28" t="str"/>
      <x:c r="P101" s="28" t="str"/>
      <x:c r="Q101" s="28" t="str"/>
      <x:c r="R101" s="28" t="str"/>
      <x:c r="S101" s="28" t="str">
        <x:v>High</x:v>
      </x:c>
      <x:c r="T101" s="28" t="str">
        <x:f>IF(L101="Done","Green",IF(L101="Blocked","Red",IF(TODAY()&gt;J101,"Red",IF(M101&gt;=0.6,"Yellow","Green"))))</x:f>
        <x:v>Green</x:v>
      </x:c>
      <x:c r="U101" s="28" t="str"/>
    </x:row>
    <x:row r="102">
      <x:c r="A102" s="28" t="str">
        <x:v>SV-02-0100</x:v>
      </x:c>
      <x:c r="B102" s="28" t="str">
        <x:v>Sprint 2</x:v>
      </x:c>
      <x:c r="C102" s="28" t="str">
        <x:v>Month 2</x:v>
      </x:c>
      <x:c r="D102" s="28" t="str">
        <x:v>Frontend Engineer</x:v>
      </x:c>
      <x:c r="E102" s="28" t="str">
        <x:v>VM</x:v>
      </x:c>
      <x:c r="F102" s="28" t="str">
        <x:v>Integrasi VM list ke API</x:v>
      </x:c>
      <x:c r="G102" s="28" t="str">
        <x:v>VM list dynamic</x:v>
      </x:c>
      <x:c r="H102" s="28" t="str">
        <x:v>Critical</x:v>
      </x:c>
      <x:c r="I102" s="42" t="n">
        <x:f>INDEX('Sprint Plan'!$D$9:$D$20,MATCH(B102,'Sprint Plan'!$A$9:$A$20,0))</x:f>
        <x:v>46232</x:v>
      </x:c>
      <x:c r="J102" s="42" t="n">
        <x:f>INDEX('Sprint Plan'!$E$9:$E$20,MATCH(B102,'Sprint Plan'!$A$9:$A$20,0))</x:f>
        <x:v>46245</x:v>
      </x:c>
      <x:c r="K102" s="28" t="str">
        <x:v>TBD</x:v>
      </x:c>
      <x:c r="L102" s="28" t="str">
        <x:v>Not Started</x:v>
      </x:c>
      <x:c r="M102" s="43" t="n">
        <x:v>0</x:v>
      </x:c>
      <x:c r="N102" s="28" t="n">
        <x:v>1</x:v>
      </x:c>
      <x:c r="O102" s="28" t="str"/>
      <x:c r="P102" s="28" t="str"/>
      <x:c r="Q102" s="28" t="str"/>
      <x:c r="R102" s="28" t="str"/>
      <x:c r="S102" s="28" t="str">
        <x:v>High</x:v>
      </x:c>
      <x:c r="T102" s="28" t="str">
        <x:f>IF(L102="Done","Green",IF(L102="Blocked","Red",IF(TODAY()&gt;J102,"Red",IF(M102&gt;=0.6,"Yellow","Green"))))</x:f>
        <x:v>Green</x:v>
      </x:c>
      <x:c r="U102" s="28" t="str"/>
    </x:row>
    <x:row r="103">
      <x:c r="A103" s="28" t="str">
        <x:v>SV-02-0101</x:v>
      </x:c>
      <x:c r="B103" s="28" t="str">
        <x:v>Sprint 2</x:v>
      </x:c>
      <x:c r="C103" s="28" t="str">
        <x:v>Month 2</x:v>
      </x:c>
      <x:c r="D103" s="28" t="str">
        <x:v>Frontend Engineer</x:v>
      </x:c>
      <x:c r="E103" s="28" t="str">
        <x:v>Detail</x:v>
      </x:c>
      <x:c r="F103" s="28" t="str">
        <x:v>Integrasi VM detail ke API</x:v>
      </x:c>
      <x:c r="G103" s="28" t="str">
        <x:v>VM detail dynamic</x:v>
      </x:c>
      <x:c r="H103" s="28" t="str">
        <x:v>Critical</x:v>
      </x:c>
      <x:c r="I103" s="42" t="n">
        <x:f>INDEX('Sprint Plan'!$D$9:$D$20,MATCH(B103,'Sprint Plan'!$A$9:$A$20,0))</x:f>
        <x:v>46232</x:v>
      </x:c>
      <x:c r="J103" s="42" t="n">
        <x:f>INDEX('Sprint Plan'!$E$9:$E$20,MATCH(B103,'Sprint Plan'!$A$9:$A$20,0))</x:f>
        <x:v>46245</x:v>
      </x:c>
      <x:c r="K103" s="28" t="str">
        <x:v>TBD</x:v>
      </x:c>
      <x:c r="L103" s="28" t="str">
        <x:v>Not Started</x:v>
      </x:c>
      <x:c r="M103" s="43" t="n">
        <x:v>0</x:v>
      </x:c>
      <x:c r="N103" s="28" t="n">
        <x:v>1</x:v>
      </x:c>
      <x:c r="O103" s="28" t="str"/>
      <x:c r="P103" s="28" t="str"/>
      <x:c r="Q103" s="28" t="str"/>
      <x:c r="R103" s="28" t="str"/>
      <x:c r="S103" s="28" t="str">
        <x:v>High</x:v>
      </x:c>
      <x:c r="T103" s="28" t="str">
        <x:f>IF(L103="Done","Green",IF(L103="Blocked","Red",IF(TODAY()&gt;J103,"Red",IF(M103&gt;=0.6,"Yellow","Green"))))</x:f>
        <x:v>Green</x:v>
      </x:c>
      <x:c r="U103" s="28" t="str"/>
    </x:row>
    <x:row r="104">
      <x:c r="A104" s="28" t="str">
        <x:v>SV-02-0102</x:v>
      </x:c>
      <x:c r="B104" s="28" t="str">
        <x:v>Sprint 2</x:v>
      </x:c>
      <x:c r="C104" s="28" t="str">
        <x:v>Month 2</x:v>
      </x:c>
      <x:c r="D104" s="28" t="str">
        <x:v>Frontend Engineer</x:v>
      </x:c>
      <x:c r="E104" s="28" t="str">
        <x:v>State</x:v>
      </x:c>
      <x:c r="F104" s="28" t="str">
        <x:v>Buat loading/error/empty state</x:v>
      </x:c>
      <x:c r="G104" s="28" t="str">
        <x:v>UI states</x:v>
      </x:c>
      <x:c r="H104" s="28" t="str">
        <x:v>Critical</x:v>
      </x:c>
      <x:c r="I104" s="42" t="n">
        <x:f>INDEX('Sprint Plan'!$D$9:$D$20,MATCH(B104,'Sprint Plan'!$A$9:$A$20,0))</x:f>
        <x:v>46232</x:v>
      </x:c>
      <x:c r="J104" s="42" t="n">
        <x:f>INDEX('Sprint Plan'!$E$9:$E$20,MATCH(B104,'Sprint Plan'!$A$9:$A$20,0))</x:f>
        <x:v>46245</x:v>
      </x:c>
      <x:c r="K104" s="28" t="str">
        <x:v>TBD</x:v>
      </x:c>
      <x:c r="L104" s="28" t="str">
        <x:v>Not Started</x:v>
      </x:c>
      <x:c r="M104" s="43" t="n">
        <x:v>0</x:v>
      </x:c>
      <x:c r="N104" s="28" t="n">
        <x:v>1</x:v>
      </x:c>
      <x:c r="O104" s="28" t="str"/>
      <x:c r="P104" s="28" t="str"/>
      <x:c r="Q104" s="28" t="str"/>
      <x:c r="R104" s="28" t="str"/>
      <x:c r="S104" s="28" t="str">
        <x:v>High</x:v>
      </x:c>
      <x:c r="T104" s="28" t="str">
        <x:f>IF(L104="Done","Green",IF(L104="Blocked","Red",IF(TODAY()&gt;J104,"Red",IF(M104&gt;=0.6,"Yellow","Green"))))</x:f>
        <x:v>Green</x:v>
      </x:c>
      <x:c r="U104" s="28" t="str"/>
    </x:row>
    <x:row r="105">
      <x:c r="A105" s="28" t="str">
        <x:v>SV-02-0103</x:v>
      </x:c>
      <x:c r="B105" s="28" t="str">
        <x:v>Sprint 2</x:v>
      </x:c>
      <x:c r="C105" s="28" t="str">
        <x:v>Month 2</x:v>
      </x:c>
      <x:c r="D105" s="28" t="str">
        <x:v>QA/Tester</x:v>
      </x:c>
      <x:c r="E105" s="28" t="str">
        <x:v>Auth</x:v>
      </x:c>
      <x:c r="F105" s="28" t="str">
        <x:v>Test API auth</x:v>
      </x:c>
      <x:c r="G105" s="28" t="str">
        <x:v>Auth test</x:v>
      </x:c>
      <x:c r="H105" s="28" t="str">
        <x:v>Critical</x:v>
      </x:c>
      <x:c r="I105" s="42" t="n">
        <x:f>INDEX('Sprint Plan'!$D$9:$D$20,MATCH(B105,'Sprint Plan'!$A$9:$A$20,0))</x:f>
        <x:v>46232</x:v>
      </x:c>
      <x:c r="J105" s="42" t="n">
        <x:f>INDEX('Sprint Plan'!$E$9:$E$20,MATCH(B105,'Sprint Plan'!$A$9:$A$20,0))</x:f>
        <x:v>46245</x:v>
      </x:c>
      <x:c r="K105" s="28" t="str">
        <x:v>TBD</x:v>
      </x:c>
      <x:c r="L105" s="28" t="str">
        <x:v>Not Started</x:v>
      </x:c>
      <x:c r="M105" s="43" t="n">
        <x:v>0</x:v>
      </x:c>
      <x:c r="N105" s="28" t="n">
        <x:v>1</x:v>
      </x:c>
      <x:c r="O105" s="28" t="str"/>
      <x:c r="P105" s="28" t="str"/>
      <x:c r="Q105" s="28" t="str"/>
      <x:c r="R105" s="28" t="str"/>
      <x:c r="S105" s="28" t="str">
        <x:v>High</x:v>
      </x:c>
      <x:c r="T105" s="28" t="str">
        <x:f>IF(L105="Done","Green",IF(L105="Blocked","Red",IF(TODAY()&gt;J105,"Red",IF(M105&gt;=0.6,"Yellow","Green"))))</x:f>
        <x:v>Green</x:v>
      </x:c>
      <x:c r="U105" s="28" t="str"/>
    </x:row>
    <x:row r="106">
      <x:c r="A106" s="28" t="str">
        <x:v>SV-02-0104</x:v>
      </x:c>
      <x:c r="B106" s="28" t="str">
        <x:v>Sprint 2</x:v>
      </x:c>
      <x:c r="C106" s="28" t="str">
        <x:v>Month 2</x:v>
      </x:c>
      <x:c r="D106" s="28" t="str">
        <x:v>QA/Tester</x:v>
      </x:c>
      <x:c r="E106" s="28" t="str">
        <x:v>Host</x:v>
      </x:c>
      <x:c r="F106" s="28" t="str">
        <x:v>Test host API</x:v>
      </x:c>
      <x:c r="G106" s="28" t="str">
        <x:v>Host API test</x:v>
      </x:c>
      <x:c r="H106" s="28" t="str">
        <x:v>Critical</x:v>
      </x:c>
      <x:c r="I106" s="42" t="n">
        <x:f>INDEX('Sprint Plan'!$D$9:$D$20,MATCH(B106,'Sprint Plan'!$A$9:$A$20,0))</x:f>
        <x:v>46232</x:v>
      </x:c>
      <x:c r="J106" s="42" t="n">
        <x:f>INDEX('Sprint Plan'!$E$9:$E$20,MATCH(B106,'Sprint Plan'!$A$9:$A$20,0))</x:f>
        <x:v>46245</x:v>
      </x:c>
      <x:c r="K106" s="28" t="str">
        <x:v>TBD</x:v>
      </x:c>
      <x:c r="L106" s="28" t="str">
        <x:v>Not Started</x:v>
      </x:c>
      <x:c r="M106" s="43" t="n">
        <x:v>0</x:v>
      </x:c>
      <x:c r="N106" s="28" t="n">
        <x:v>1</x:v>
      </x:c>
      <x:c r="O106" s="28" t="str"/>
      <x:c r="P106" s="28" t="str"/>
      <x:c r="Q106" s="28" t="str"/>
      <x:c r="R106" s="28" t="str"/>
      <x:c r="S106" s="28" t="str">
        <x:v>High</x:v>
      </x:c>
      <x:c r="T106" s="28" t="str">
        <x:f>IF(L106="Done","Green",IF(L106="Blocked","Red",IF(TODAY()&gt;J106,"Red",IF(M106&gt;=0.6,"Yellow","Green"))))</x:f>
        <x:v>Green</x:v>
      </x:c>
      <x:c r="U106" s="28" t="str"/>
    </x:row>
    <x:row r="107">
      <x:c r="A107" s="28" t="str">
        <x:v>SV-02-0105</x:v>
      </x:c>
      <x:c r="B107" s="28" t="str">
        <x:v>Sprint 2</x:v>
      </x:c>
      <x:c r="C107" s="28" t="str">
        <x:v>Month 2</x:v>
      </x:c>
      <x:c r="D107" s="28" t="str">
        <x:v>QA/Tester</x:v>
      </x:c>
      <x:c r="E107" s="28" t="str">
        <x:v>VM</x:v>
      </x:c>
      <x:c r="F107" s="28" t="str">
        <x:v>Test VM API</x:v>
      </x:c>
      <x:c r="G107" s="28" t="str">
        <x:v>VM API test</x:v>
      </x:c>
      <x:c r="H107" s="28" t="str">
        <x:v>Critical</x:v>
      </x:c>
      <x:c r="I107" s="42" t="n">
        <x:f>INDEX('Sprint Plan'!$D$9:$D$20,MATCH(B107,'Sprint Plan'!$A$9:$A$20,0))</x:f>
        <x:v>46232</x:v>
      </x:c>
      <x:c r="J107" s="42" t="n">
        <x:f>INDEX('Sprint Plan'!$E$9:$E$20,MATCH(B107,'Sprint Plan'!$A$9:$A$20,0))</x:f>
        <x:v>46245</x:v>
      </x:c>
      <x:c r="K107" s="28" t="str">
        <x:v>TBD</x:v>
      </x:c>
      <x:c r="L107" s="28" t="str">
        <x:v>Not Started</x:v>
      </x:c>
      <x:c r="M107" s="43" t="n">
        <x:v>0</x:v>
      </x:c>
      <x:c r="N107" s="28" t="n">
        <x:v>1</x:v>
      </x:c>
      <x:c r="O107" s="28" t="str"/>
      <x:c r="P107" s="28" t="str"/>
      <x:c r="Q107" s="28" t="str"/>
      <x:c r="R107" s="28" t="str"/>
      <x:c r="S107" s="28" t="str">
        <x:v>High</x:v>
      </x:c>
      <x:c r="T107" s="28" t="str">
        <x:f>IF(L107="Done","Green",IF(L107="Blocked","Red",IF(TODAY()&gt;J107,"Red",IF(M107&gt;=0.6,"Yellow","Green"))))</x:f>
        <x:v>Green</x:v>
      </x:c>
      <x:c r="U107" s="28" t="str"/>
    </x:row>
    <x:row r="108">
      <x:c r="A108" s="28" t="str">
        <x:v>SV-02-0106</x:v>
      </x:c>
      <x:c r="B108" s="28" t="str">
        <x:v>Sprint 2</x:v>
      </x:c>
      <x:c r="C108" s="28" t="str">
        <x:v>Month 2</x:v>
      </x:c>
      <x:c r="D108" s="28" t="str">
        <x:v>QA/Tester</x:v>
      </x:c>
      <x:c r="E108" s="28" t="str">
        <x:v>Error</x:v>
      </x:c>
      <x:c r="F108" s="28" t="str">
        <x:v>Test adapter error handling</x:v>
      </x:c>
      <x:c r="G108" s="28" t="str">
        <x:v>Error test</x:v>
      </x:c>
      <x:c r="H108" s="28" t="str">
        <x:v>Critical</x:v>
      </x:c>
      <x:c r="I108" s="42" t="n">
        <x:f>INDEX('Sprint Plan'!$D$9:$D$20,MATCH(B108,'Sprint Plan'!$A$9:$A$20,0))</x:f>
        <x:v>46232</x:v>
      </x:c>
      <x:c r="J108" s="42" t="n">
        <x:f>INDEX('Sprint Plan'!$E$9:$E$20,MATCH(B108,'Sprint Plan'!$A$9:$A$20,0))</x:f>
        <x:v>46245</x:v>
      </x:c>
      <x:c r="K108" s="28" t="str">
        <x:v>TBD</x:v>
      </x:c>
      <x:c r="L108" s="28" t="str">
        <x:v>Not Started</x:v>
      </x:c>
      <x:c r="M108" s="43" t="n">
        <x:v>0</x:v>
      </x:c>
      <x:c r="N108" s="28" t="n">
        <x:v>1</x:v>
      </x:c>
      <x:c r="O108" s="28" t="str"/>
      <x:c r="P108" s="28" t="str"/>
      <x:c r="Q108" s="28" t="str"/>
      <x:c r="R108" s="28" t="str"/>
      <x:c r="S108" s="28" t="str">
        <x:v>High</x:v>
      </x:c>
      <x:c r="T108" s="28" t="str">
        <x:f>IF(L108="Done","Green",IF(L108="Blocked","Red",IF(TODAY()&gt;J108,"Red",IF(M108&gt;=0.6,"Yellow","Green"))))</x:f>
        <x:v>Green</x:v>
      </x:c>
      <x:c r="U108" s="28" t="str"/>
    </x:row>
    <x:row r="109">
      <x:c r="A109" s="28" t="str">
        <x:v>SV-02-0107</x:v>
      </x:c>
      <x:c r="B109" s="28" t="str">
        <x:v>Sprint 2</x:v>
      </x:c>
      <x:c r="C109" s="28" t="str">
        <x:v>Month 2</x:v>
      </x:c>
      <x:c r="D109" s="28" t="str">
        <x:v>QA/Tester</x:v>
      </x:c>
      <x:c r="E109" s="28" t="str">
        <x:v>Collection</x:v>
      </x:c>
      <x:c r="F109" s="28" t="str">
        <x:v>Buat API test collection</x:v>
      </x:c>
      <x:c r="G109" s="28" t="str">
        <x:v>Postman/Insomnia collection</x:v>
      </x:c>
      <x:c r="H109" s="28" t="str">
        <x:v>Critical</x:v>
      </x:c>
      <x:c r="I109" s="42" t="n">
        <x:f>INDEX('Sprint Plan'!$D$9:$D$20,MATCH(B109,'Sprint Plan'!$A$9:$A$20,0))</x:f>
        <x:v>46232</x:v>
      </x:c>
      <x:c r="J109" s="42" t="n">
        <x:f>INDEX('Sprint Plan'!$E$9:$E$20,MATCH(B109,'Sprint Plan'!$A$9:$A$20,0))</x:f>
        <x:v>46245</x:v>
      </x:c>
      <x:c r="K109" s="28" t="str">
        <x:v>TBD</x:v>
      </x:c>
      <x:c r="L109" s="28" t="str">
        <x:v>Not Started</x:v>
      </x:c>
      <x:c r="M109" s="43" t="n">
        <x:v>0</x:v>
      </x:c>
      <x:c r="N109" s="28" t="n">
        <x:v>1</x:v>
      </x:c>
      <x:c r="O109" s="28" t="str"/>
      <x:c r="P109" s="28" t="str"/>
      <x:c r="Q109" s="28" t="str"/>
      <x:c r="R109" s="28" t="str"/>
      <x:c r="S109" s="28" t="str">
        <x:v>High</x:v>
      </x:c>
      <x:c r="T109" s="28" t="str">
        <x:f>IF(L109="Done","Green",IF(L109="Blocked","Red",IF(TODAY()&gt;J109,"Red",IF(M109&gt;=0.6,"Yellow","Green"))))</x:f>
        <x:v>Green</x:v>
      </x:c>
      <x:c r="U109" s="28" t="str"/>
    </x:row>
    <x:row r="110">
      <x:c r="A110" s="28" t="str">
        <x:v>SV-02-0108</x:v>
      </x:c>
      <x:c r="B110" s="28" t="str">
        <x:v>Sprint 2</x:v>
      </x:c>
      <x:c r="C110" s="28" t="str">
        <x:v>Month 2</x:v>
      </x:c>
      <x:c r="D110" s="28" t="str">
        <x:v>Technical Writer</x:v>
      </x:c>
      <x:c r="E110" s="28" t="str">
        <x:v>API Docs</x:v>
      </x:c>
      <x:c r="F110" s="28" t="str">
        <x:v>Dokumentasi API v1</x:v>
      </x:c>
      <x:c r="G110" s="28" t="str">
        <x:v>API docs</x:v>
      </x:c>
      <x:c r="H110" s="28" t="str">
        <x:v>Critical</x:v>
      </x:c>
      <x:c r="I110" s="42" t="n">
        <x:f>INDEX('Sprint Plan'!$D$9:$D$20,MATCH(B110,'Sprint Plan'!$A$9:$A$20,0))</x:f>
        <x:v>46232</x:v>
      </x:c>
      <x:c r="J110" s="42" t="n">
        <x:f>INDEX('Sprint Plan'!$E$9:$E$20,MATCH(B110,'Sprint Plan'!$A$9:$A$20,0))</x:f>
        <x:v>46245</x:v>
      </x:c>
      <x:c r="K110" s="28" t="str">
        <x:v>TBD</x:v>
      </x:c>
      <x:c r="L110" s="28" t="str">
        <x:v>Not Started</x:v>
      </x:c>
      <x:c r="M110" s="43" t="n">
        <x:v>0</x:v>
      </x:c>
      <x:c r="N110" s="28" t="n">
        <x:v>1</x:v>
      </x:c>
      <x:c r="O110" s="28" t="str"/>
      <x:c r="P110" s="28" t="str"/>
      <x:c r="Q110" s="28" t="str"/>
      <x:c r="R110" s="28" t="str"/>
      <x:c r="S110" s="28" t="str">
        <x:v>High</x:v>
      </x:c>
      <x:c r="T110" s="28" t="str">
        <x:f>IF(L110="Done","Green",IF(L110="Blocked","Red",IF(TODAY()&gt;J110,"Red",IF(M110&gt;=0.6,"Yellow","Green"))))</x:f>
        <x:v>Green</x:v>
      </x:c>
      <x:c r="U110" s="28" t="str"/>
    </x:row>
    <x:row r="111">
      <x:c r="A111" s="28" t="str">
        <x:v>SV-02-0109</x:v>
      </x:c>
      <x:c r="B111" s="28" t="str">
        <x:v>Sprint 2</x:v>
      </x:c>
      <x:c r="C111" s="28" t="str">
        <x:v>Month 2</x:v>
      </x:c>
      <x:c r="D111" s="28" t="str">
        <x:v>Technical Writer</x:v>
      </x:c>
      <x:c r="E111" s="28" t="str">
        <x:v>RBAC</x:v>
      </x:c>
      <x:c r="F111" s="28" t="str">
        <x:v>Dokumentasi role awal</x:v>
      </x:c>
      <x:c r="G111" s="28" t="str">
        <x:v>RBAC docs</x:v>
      </x:c>
      <x:c r="H111" s="28" t="str">
        <x:v>Critical</x:v>
      </x:c>
      <x:c r="I111" s="42" t="n">
        <x:f>INDEX('Sprint Plan'!$D$9:$D$20,MATCH(B111,'Sprint Plan'!$A$9:$A$20,0))</x:f>
        <x:v>46232</x:v>
      </x:c>
      <x:c r="J111" s="42" t="n">
        <x:f>INDEX('Sprint Plan'!$E$9:$E$20,MATCH(B111,'Sprint Plan'!$A$9:$A$20,0))</x:f>
        <x:v>46245</x:v>
      </x:c>
      <x:c r="K111" s="28" t="str">
        <x:v>TBD</x:v>
      </x:c>
      <x:c r="L111" s="28" t="str">
        <x:v>Not Started</x:v>
      </x:c>
      <x:c r="M111" s="43" t="n">
        <x:v>0</x:v>
      </x:c>
      <x:c r="N111" s="28" t="n">
        <x:v>1</x:v>
      </x:c>
      <x:c r="O111" s="28" t="str"/>
      <x:c r="P111" s="28" t="str"/>
      <x:c r="Q111" s="28" t="str"/>
      <x:c r="R111" s="28" t="str"/>
      <x:c r="S111" s="28" t="str">
        <x:v>High</x:v>
      </x:c>
      <x:c r="T111" s="28" t="str">
        <x:f>IF(L111="Done","Green",IF(L111="Blocked","Red",IF(TODAY()&gt;J111,"Red",IF(M111&gt;=0.6,"Yellow","Green"))))</x:f>
        <x:v>Green</x:v>
      </x:c>
      <x:c r="U111" s="28" t="str"/>
    </x:row>
    <x:row r="112">
      <x:c r="A112" s="28" t="str">
        <x:v>SV-02-0110</x:v>
      </x:c>
      <x:c r="B112" s="28" t="str">
        <x:v>Sprint 2</x:v>
      </x:c>
      <x:c r="C112" s="28" t="str">
        <x:v>Month 2</x:v>
      </x:c>
      <x:c r="D112" s="28" t="str">
        <x:v>Technical Writer</x:v>
      </x:c>
      <x:c r="E112" s="28" t="str">
        <x:v>Adapter</x:v>
      </x:c>
      <x:c r="F112" s="28" t="str">
        <x:v>Dokumentasi adapter behavior</x:v>
      </x:c>
      <x:c r="G112" s="28" t="str">
        <x:v>Adapter docs</x:v>
      </x:c>
      <x:c r="H112" s="28" t="str">
        <x:v>Critical</x:v>
      </x:c>
      <x:c r="I112" s="42" t="n">
        <x:f>INDEX('Sprint Plan'!$D$9:$D$20,MATCH(B112,'Sprint Plan'!$A$9:$A$20,0))</x:f>
        <x:v>46232</x:v>
      </x:c>
      <x:c r="J112" s="42" t="n">
        <x:f>INDEX('Sprint Plan'!$E$9:$E$20,MATCH(B112,'Sprint Plan'!$A$9:$A$20,0))</x:f>
        <x:v>46245</x:v>
      </x:c>
      <x:c r="K112" s="28" t="str">
        <x:v>TBD</x:v>
      </x:c>
      <x:c r="L112" s="28" t="str">
        <x:v>Not Started</x:v>
      </x:c>
      <x:c r="M112" s="43" t="n">
        <x:v>0</x:v>
      </x:c>
      <x:c r="N112" s="28" t="n">
        <x:v>1</x:v>
      </x:c>
      <x:c r="O112" s="28" t="str"/>
      <x:c r="P112" s="28" t="str"/>
      <x:c r="Q112" s="28" t="str"/>
      <x:c r="R112" s="28" t="str"/>
      <x:c r="S112" s="28" t="str">
        <x:v>High</x:v>
      </x:c>
      <x:c r="T112" s="28" t="str">
        <x:f>IF(L112="Done","Green",IF(L112="Blocked","Red",IF(TODAY()&gt;J112,"Red",IF(M112&gt;=0.6,"Yellow","Green"))))</x:f>
        <x:v>Green</x:v>
      </x:c>
      <x:c r="U112" s="28" t="str"/>
    </x:row>
    <x:row r="113">
      <x:c r="A113" s="28" t="str">
        <x:v>SV-02-0111</x:v>
      </x:c>
      <x:c r="B113" s="28" t="str">
        <x:v>Sprint 2</x:v>
      </x:c>
      <x:c r="C113" s="28" t="str">
        <x:v>Month 2</x:v>
      </x:c>
      <x:c r="D113" s="28" t="str">
        <x:v>Technical Writer</x:v>
      </x:c>
      <x:c r="E113" s="28" t="str">
        <x:v>Ops</x:v>
      </x:c>
      <x:c r="F113" s="28" t="str">
        <x:v>Update operation guide</x:v>
      </x:c>
      <x:c r="G113" s="28" t="str">
        <x:v>Operation guide v1</x:v>
      </x:c>
      <x:c r="H113" s="28" t="str">
        <x:v>Critical</x:v>
      </x:c>
      <x:c r="I113" s="42" t="n">
        <x:f>INDEX('Sprint Plan'!$D$9:$D$20,MATCH(B113,'Sprint Plan'!$A$9:$A$20,0))</x:f>
        <x:v>46232</x:v>
      </x:c>
      <x:c r="J113" s="42" t="n">
        <x:f>INDEX('Sprint Plan'!$E$9:$E$20,MATCH(B113,'Sprint Plan'!$A$9:$A$20,0))</x:f>
        <x:v>46245</x:v>
      </x:c>
      <x:c r="K113" s="28" t="str">
        <x:v>TBD</x:v>
      </x:c>
      <x:c r="L113" s="28" t="str">
        <x:v>Not Started</x:v>
      </x:c>
      <x:c r="M113" s="43" t="n">
        <x:v>0</x:v>
      </x:c>
      <x:c r="N113" s="28" t="n">
        <x:v>1</x:v>
      </x:c>
      <x:c r="O113" s="28" t="str"/>
      <x:c r="P113" s="28" t="str"/>
      <x:c r="Q113" s="28" t="str"/>
      <x:c r="R113" s="28" t="str"/>
      <x:c r="S113" s="28" t="str">
        <x:v>High</x:v>
      </x:c>
      <x:c r="T113" s="28" t="str">
        <x:f>IF(L113="Done","Green",IF(L113="Blocked","Red",IF(TODAY()&gt;J113,"Red",IF(M113&gt;=0.6,"Yellow","Green"))))</x:f>
        <x:v>Green</x:v>
      </x:c>
      <x:c r="U113" s="28" t="str"/>
    </x:row>
    <x:row r="114">
      <x:c r="A114" s="28" t="str">
        <x:v>SV-02-0112</x:v>
      </x:c>
      <x:c r="B114" s="28" t="str">
        <x:v>Sprint 2</x:v>
      </x:c>
      <x:c r="C114" s="28" t="str">
        <x:v>Month 2</x:v>
      </x:c>
      <x:c r="D114" s="28" t="str">
        <x:v>Sales/Marketing/Presales</x:v>
      </x:c>
      <x:c r="E114" s="28" t="str">
        <x:v>Product Sheet</x:v>
      </x:c>
      <x:c r="F114" s="28" t="str">
        <x:v>Buat product sheet 1 halaman</x:v>
      </x:c>
      <x:c r="G114" s="28" t="str">
        <x:v>Product sheet</x:v>
      </x:c>
      <x:c r="H114" s="28" t="str">
        <x:v>Critical</x:v>
      </x:c>
      <x:c r="I114" s="42" t="n">
        <x:f>INDEX('Sprint Plan'!$D$9:$D$20,MATCH(B114,'Sprint Plan'!$A$9:$A$20,0))</x:f>
        <x:v>46232</x:v>
      </x:c>
      <x:c r="J114" s="42" t="n">
        <x:f>INDEX('Sprint Plan'!$E$9:$E$20,MATCH(B114,'Sprint Plan'!$A$9:$A$20,0))</x:f>
        <x:v>46245</x:v>
      </x:c>
      <x:c r="K114" s="28" t="str">
        <x:v>TBD</x:v>
      </x:c>
      <x:c r="L114" s="28" t="str">
        <x:v>Not Started</x:v>
      </x:c>
      <x:c r="M114" s="43" t="n">
        <x:v>0</x:v>
      </x:c>
      <x:c r="N114" s="28" t="n">
        <x:v>1</x:v>
      </x:c>
      <x:c r="O114" s="28" t="str"/>
      <x:c r="P114" s="28" t="str"/>
      <x:c r="Q114" s="28" t="str"/>
      <x:c r="R114" s="28" t="str"/>
      <x:c r="S114" s="28" t="str">
        <x:v>High</x:v>
      </x:c>
      <x:c r="T114" s="28" t="str">
        <x:f>IF(L114="Done","Green",IF(L114="Blocked","Red",IF(TODAY()&gt;J114,"Red",IF(M114&gt;=0.6,"Yellow","Green"))))</x:f>
        <x:v>Green</x:v>
      </x:c>
      <x:c r="U114" s="28" t="str"/>
    </x:row>
    <x:row r="115">
      <x:c r="A115" s="28" t="str">
        <x:v>SV-02-0113</x:v>
      </x:c>
      <x:c r="B115" s="28" t="str">
        <x:v>Sprint 2</x:v>
      </x:c>
      <x:c r="C115" s="28" t="str">
        <x:v>Month 2</x:v>
      </x:c>
      <x:c r="D115" s="28" t="str">
        <x:v>Sales/Marketing/Presales</x:v>
      </x:c>
      <x:c r="E115" s="28" t="str">
        <x:v>VMware Use Case</x:v>
      </x:c>
      <x:c r="F115" s="28" t="str">
        <x:v>Buat use case sheet VMware Exit</x:v>
      </x:c>
      <x:c r="G115" s="28" t="str">
        <x:v>Use case sheet</x:v>
      </x:c>
      <x:c r="H115" s="28" t="str">
        <x:v>Critical</x:v>
      </x:c>
      <x:c r="I115" s="42" t="n">
        <x:f>INDEX('Sprint Plan'!$D$9:$D$20,MATCH(B115,'Sprint Plan'!$A$9:$A$20,0))</x:f>
        <x:v>46232</x:v>
      </x:c>
      <x:c r="J115" s="42" t="n">
        <x:f>INDEX('Sprint Plan'!$E$9:$E$20,MATCH(B115,'Sprint Plan'!$A$9:$A$20,0))</x:f>
        <x:v>46245</x:v>
      </x:c>
      <x:c r="K115" s="28" t="str">
        <x:v>TBD</x:v>
      </x:c>
      <x:c r="L115" s="28" t="str">
        <x:v>Not Started</x:v>
      </x:c>
      <x:c r="M115" s="43" t="n">
        <x:v>0</x:v>
      </x:c>
      <x:c r="N115" s="28" t="n">
        <x:v>1</x:v>
      </x:c>
      <x:c r="O115" s="28" t="str"/>
      <x:c r="P115" s="28" t="str"/>
      <x:c r="Q115" s="28" t="str"/>
      <x:c r="R115" s="28" t="str"/>
      <x:c r="S115" s="28" t="str">
        <x:v>High</x:v>
      </x:c>
      <x:c r="T115" s="28" t="str">
        <x:f>IF(L115="Done","Green",IF(L115="Blocked","Red",IF(TODAY()&gt;J115,"Red",IF(M115&gt;=0.6,"Yellow","Green"))))</x:f>
        <x:v>Green</x:v>
      </x:c>
      <x:c r="U115" s="28" t="str"/>
    </x:row>
    <x:row r="116">
      <x:c r="A116" s="28" t="str">
        <x:v>SV-02-0114</x:v>
      </x:c>
      <x:c r="B116" s="28" t="str">
        <x:v>Sprint 2</x:v>
      </x:c>
      <x:c r="C116" s="28" t="str">
        <x:v>Month 2</x:v>
      </x:c>
      <x:c r="D116" s="28" t="str">
        <x:v>Sales/Marketing/Presales</x:v>
      </x:c>
      <x:c r="E116" s="28" t="str">
        <x:v>Proxmox Use Case</x:v>
      </x:c>
      <x:c r="F116" s="28" t="str">
        <x:v>Buat use case sheet Proxmox Rescue</x:v>
      </x:c>
      <x:c r="G116" s="28" t="str">
        <x:v>Use case sheet</x:v>
      </x:c>
      <x:c r="H116" s="28" t="str">
        <x:v>Critical</x:v>
      </x:c>
      <x:c r="I116" s="42" t="n">
        <x:f>INDEX('Sprint Plan'!$D$9:$D$20,MATCH(B116,'Sprint Plan'!$A$9:$A$20,0))</x:f>
        <x:v>46232</x:v>
      </x:c>
      <x:c r="J116" s="42" t="n">
        <x:f>INDEX('Sprint Plan'!$E$9:$E$20,MATCH(B116,'Sprint Plan'!$A$9:$A$20,0))</x:f>
        <x:v>46245</x:v>
      </x:c>
      <x:c r="K116" s="28" t="str">
        <x:v>TBD</x:v>
      </x:c>
      <x:c r="L116" s="28" t="str">
        <x:v>Not Started</x:v>
      </x:c>
      <x:c r="M116" s="43" t="n">
        <x:v>0</x:v>
      </x:c>
      <x:c r="N116" s="28" t="n">
        <x:v>1</x:v>
      </x:c>
      <x:c r="O116" s="28" t="str"/>
      <x:c r="P116" s="28" t="str"/>
      <x:c r="Q116" s="28" t="str"/>
      <x:c r="R116" s="28" t="str"/>
      <x:c r="S116" s="28" t="str">
        <x:v>High</x:v>
      </x:c>
      <x:c r="T116" s="28" t="str">
        <x:f>IF(L116="Done","Green",IF(L116="Blocked","Red",IF(TODAY()&gt;J116,"Red",IF(M116&gt;=0.6,"Yellow","Green"))))</x:f>
        <x:v>Green</x:v>
      </x:c>
      <x:c r="U116" s="28" t="str"/>
    </x:row>
    <x:row r="117">
      <x:c r="A117" s="28" t="str">
        <x:v>SV-02-0115</x:v>
      </x:c>
      <x:c r="B117" s="28" t="str">
        <x:v>Sprint 2</x:v>
      </x:c>
      <x:c r="C117" s="28" t="str">
        <x:v>Month 2</x:v>
      </x:c>
      <x:c r="D117" s="28" t="str">
        <x:v>Sales/Marketing/Presales</x:v>
      </x:c>
      <x:c r="E117" s="28" t="str">
        <x:v>Discovery</x:v>
      </x:c>
      <x:c r="F117" s="28" t="str">
        <x:v>Buat script discovery call</x:v>
      </x:c>
      <x:c r="G117" s="28" t="str">
        <x:v>Discovery script</x:v>
      </x:c>
      <x:c r="H117" s="28" t="str">
        <x:v>Critical</x:v>
      </x:c>
      <x:c r="I117" s="42" t="n">
        <x:f>INDEX('Sprint Plan'!$D$9:$D$20,MATCH(B117,'Sprint Plan'!$A$9:$A$20,0))</x:f>
        <x:v>46232</x:v>
      </x:c>
      <x:c r="J117" s="42" t="n">
        <x:f>INDEX('Sprint Plan'!$E$9:$E$20,MATCH(B117,'Sprint Plan'!$A$9:$A$20,0))</x:f>
        <x:v>46245</x:v>
      </x:c>
      <x:c r="K117" s="28" t="str">
        <x:v>TBD</x:v>
      </x:c>
      <x:c r="L117" s="28" t="str">
        <x:v>Not Started</x:v>
      </x:c>
      <x:c r="M117" s="43" t="n">
        <x:v>0</x:v>
      </x:c>
      <x:c r="N117" s="28" t="n">
        <x:v>1</x:v>
      </x:c>
      <x:c r="O117" s="28" t="str"/>
      <x:c r="P117" s="28" t="str"/>
      <x:c r="Q117" s="28" t="str"/>
      <x:c r="R117" s="28" t="str"/>
      <x:c r="S117" s="28" t="str">
        <x:v>High</x:v>
      </x:c>
      <x:c r="T117" s="28" t="str">
        <x:f>IF(L117="Done","Green",IF(L117="Blocked","Red",IF(TODAY()&gt;J117,"Red",IF(M117&gt;=0.6,"Yellow","Green"))))</x:f>
        <x:v>Green</x:v>
      </x:c>
      <x:c r="U117" s="28" t="str"/>
    </x:row>
    <x:row r="118">
      <x:c r="A118" s="28" t="str">
        <x:v>SV-02-0116</x:v>
      </x:c>
      <x:c r="B118" s="28" t="str">
        <x:v>Sprint 2</x:v>
      </x:c>
      <x:c r="C118" s="28" t="str">
        <x:v>Month 2</x:v>
      </x:c>
      <x:c r="D118" s="28" t="str">
        <x:v>Sales/Marketing/Presales</x:v>
      </x:c>
      <x:c r="E118" s="28" t="str">
        <x:v>Assessment</x:v>
      </x:c>
      <x:c r="F118" s="28" t="str">
        <x:v>Buat assessment questionnaire</x:v>
      </x:c>
      <x:c r="G118" s="28" t="str">
        <x:v>Assessment questionnaire</x:v>
      </x:c>
      <x:c r="H118" s="28" t="str">
        <x:v>Critical</x:v>
      </x:c>
      <x:c r="I118" s="42" t="n">
        <x:f>INDEX('Sprint Plan'!$D$9:$D$20,MATCH(B118,'Sprint Plan'!$A$9:$A$20,0))</x:f>
        <x:v>46232</x:v>
      </x:c>
      <x:c r="J118" s="42" t="n">
        <x:f>INDEX('Sprint Plan'!$E$9:$E$20,MATCH(B118,'Sprint Plan'!$A$9:$A$20,0))</x:f>
        <x:v>46245</x:v>
      </x:c>
      <x:c r="K118" s="28" t="str">
        <x:v>TBD</x:v>
      </x:c>
      <x:c r="L118" s="28" t="str">
        <x:v>Not Started</x:v>
      </x:c>
      <x:c r="M118" s="43" t="n">
        <x:v>0</x:v>
      </x:c>
      <x:c r="N118" s="28" t="n">
        <x:v>1</x:v>
      </x:c>
      <x:c r="O118" s="28" t="str"/>
      <x:c r="P118" s="28" t="str"/>
      <x:c r="Q118" s="28" t="str"/>
      <x:c r="R118" s="28" t="str"/>
      <x:c r="S118" s="28" t="str">
        <x:v>High</x:v>
      </x:c>
      <x:c r="T118" s="28" t="str">
        <x:f>IF(L118="Done","Green",IF(L118="Blocked","Red",IF(TODAY()&gt;J118,"Red",IF(M118&gt;=0.6,"Yellow","Green"))))</x:f>
        <x:v>Green</x:v>
      </x:c>
      <x:c r="U118" s="28" t="str"/>
    </x:row>
    <x:row r="119">
      <x:c r="A119" s="28" t="str">
        <x:v>SV-03-0117</x:v>
      </x:c>
      <x:c r="B119" s="28" t="str">
        <x:v>Sprint 3</x:v>
      </x:c>
      <x:c r="C119" s="28" t="str">
        <x:v>Month 2</x:v>
      </x:c>
      <x:c r="D119" s="28" t="str">
        <x:v>Product Owner</x:v>
      </x:c>
      <x:c r="E119" s="28" t="str">
        <x:v>Create VM</x:v>
      </x:c>
      <x:c r="F119" s="28" t="str">
        <x:v>Finalisasi create VM field</x:v>
      </x:c>
      <x:c r="G119" s="28" t="str">
        <x:v>Create VM requirement</x:v>
      </x:c>
      <x:c r="H119" s="28" t="str">
        <x:v>Critical</x:v>
      </x:c>
      <x:c r="I119" s="42" t="n">
        <x:f>INDEX('Sprint Plan'!$D$9:$D$20,MATCH(B119,'Sprint Plan'!$A$9:$A$20,0))</x:f>
        <x:v>46246</x:v>
      </x:c>
      <x:c r="J119" s="42" t="n">
        <x:f>INDEX('Sprint Plan'!$E$9:$E$20,MATCH(B119,'Sprint Plan'!$A$9:$A$20,0))</x:f>
        <x:v>46259</x:v>
      </x:c>
      <x:c r="K119" s="28" t="str">
        <x:v>TBD</x:v>
      </x:c>
      <x:c r="L119" s="28" t="str">
        <x:v>Not Started</x:v>
      </x:c>
      <x:c r="M119" s="43" t="n">
        <x:v>0</x:v>
      </x:c>
      <x:c r="N119" s="28" t="n">
        <x:v>1</x:v>
      </x:c>
      <x:c r="O119" s="28" t="str"/>
      <x:c r="P119" s="28" t="str"/>
      <x:c r="Q119" s="28" t="str"/>
      <x:c r="R119" s="28" t="str"/>
      <x:c r="S119" s="28" t="str">
        <x:v>High</x:v>
      </x:c>
      <x:c r="T119" s="28" t="str">
        <x:f>IF(L119="Done","Green",IF(L119="Blocked","Red",IF(TODAY()&gt;J119,"Red",IF(M119&gt;=0.6,"Yellow","Green"))))</x:f>
        <x:v>Green</x:v>
      </x:c>
      <x:c r="U119" s="28" t="str"/>
    </x:row>
    <x:row r="120">
      <x:c r="A120" s="28" t="str">
        <x:v>SV-03-0118</x:v>
      </x:c>
      <x:c r="B120" s="28" t="str">
        <x:v>Sprint 3</x:v>
      </x:c>
      <x:c r="C120" s="28" t="str">
        <x:v>Month 2</x:v>
      </x:c>
      <x:c r="D120" s="28" t="str">
        <x:v>Product Owner</x:v>
      </x:c>
      <x:c r="E120" s="28" t="str">
        <x:v>Action Policy</x:v>
      </x:c>
      <x:c r="F120" s="28" t="str">
        <x:v>Definisikan VM action policy</x:v>
      </x:c>
      <x:c r="G120" s="28" t="str">
        <x:v>Action policy</x:v>
      </x:c>
      <x:c r="H120" s="28" t="str">
        <x:v>Critical</x:v>
      </x:c>
      <x:c r="I120" s="42" t="n">
        <x:f>INDEX('Sprint Plan'!$D$9:$D$20,MATCH(B120,'Sprint Plan'!$A$9:$A$20,0))</x:f>
        <x:v>46246</x:v>
      </x:c>
      <x:c r="J120" s="42" t="n">
        <x:f>INDEX('Sprint Plan'!$E$9:$E$20,MATCH(B120,'Sprint Plan'!$A$9:$A$20,0))</x:f>
        <x:v>46259</x:v>
      </x:c>
      <x:c r="K120" s="28" t="str">
        <x:v>TBD</x:v>
      </x:c>
      <x:c r="L120" s="28" t="str">
        <x:v>Not Started</x:v>
      </x:c>
      <x:c r="M120" s="43" t="n">
        <x:v>0</x:v>
      </x:c>
      <x:c r="N120" s="28" t="n">
        <x:v>1</x:v>
      </x:c>
      <x:c r="O120" s="28" t="str"/>
      <x:c r="P120" s="28" t="str"/>
      <x:c r="Q120" s="28" t="str"/>
      <x:c r="R120" s="28" t="str"/>
      <x:c r="S120" s="28" t="str">
        <x:v>High</x:v>
      </x:c>
      <x:c r="T120" s="28" t="str">
        <x:f>IF(L120="Done","Green",IF(L120="Blocked","Red",IF(TODAY()&gt;J120,"Red",IF(M120&gt;=0.6,"Yellow","Green"))))</x:f>
        <x:v>Green</x:v>
      </x:c>
      <x:c r="U120" s="28" t="str"/>
    </x:row>
    <x:row r="121">
      <x:c r="A121" s="28" t="str">
        <x:v>SV-03-0119</x:v>
      </x:c>
      <x:c r="B121" s="28" t="str">
        <x:v>Sprint 3</x:v>
      </x:c>
      <x:c r="C121" s="28" t="str">
        <x:v>Month 2</x:v>
      </x:c>
      <x:c r="D121" s="28" t="str">
        <x:v>Product Owner</x:v>
      </x:c>
      <x:c r="E121" s="28" t="str">
        <x:v>Naming</x:v>
      </x:c>
      <x:c r="F121" s="28" t="str">
        <x:v>Definisikan naming convention VM</x:v>
      </x:c>
      <x:c r="G121" s="28" t="str">
        <x:v>Naming rule</x:v>
      </x:c>
      <x:c r="H121" s="28" t="str">
        <x:v>Critical</x:v>
      </x:c>
      <x:c r="I121" s="42" t="n">
        <x:f>INDEX('Sprint Plan'!$D$9:$D$20,MATCH(B121,'Sprint Plan'!$A$9:$A$20,0))</x:f>
        <x:v>46246</x:v>
      </x:c>
      <x:c r="J121" s="42" t="n">
        <x:f>INDEX('Sprint Plan'!$E$9:$E$20,MATCH(B121,'Sprint Plan'!$A$9:$A$20,0))</x:f>
        <x:v>46259</x:v>
      </x:c>
      <x:c r="K121" s="28" t="str">
        <x:v>TBD</x:v>
      </x:c>
      <x:c r="L121" s="28" t="str">
        <x:v>Not Started</x:v>
      </x:c>
      <x:c r="M121" s="43" t="n">
        <x:v>0</x:v>
      </x:c>
      <x:c r="N121" s="28" t="n">
        <x:v>1</x:v>
      </x:c>
      <x:c r="O121" s="28" t="str"/>
      <x:c r="P121" s="28" t="str"/>
      <x:c r="Q121" s="28" t="str"/>
      <x:c r="R121" s="28" t="str"/>
      <x:c r="S121" s="28" t="str">
        <x:v>High</x:v>
      </x:c>
      <x:c r="T121" s="28" t="str">
        <x:f>IF(L121="Done","Green",IF(L121="Blocked","Red",IF(TODAY()&gt;J121,"Red",IF(M121&gt;=0.6,"Yellow","Green"))))</x:f>
        <x:v>Green</x:v>
      </x:c>
      <x:c r="U121" s="28" t="str"/>
    </x:row>
    <x:row r="122">
      <x:c r="A122" s="28" t="str">
        <x:v>SV-03-0120</x:v>
      </x:c>
      <x:c r="B122" s="28" t="str">
        <x:v>Sprint 3</x:v>
      </x:c>
      <x:c r="C122" s="28" t="str">
        <x:v>Month 2</x:v>
      </x:c>
      <x:c r="D122" s="28" t="str">
        <x:v>Product Owner</x:v>
      </x:c>
      <x:c r="E122" s="28" t="str">
        <x:v>Label</x:v>
      </x:c>
      <x:c r="F122" s="28" t="str">
        <x:v>Definisikan VM environment label</x:v>
      </x:c>
      <x:c r="G122" s="28" t="str">
        <x:v>Prod/staging/dev label</x:v>
      </x:c>
      <x:c r="H122" s="28" t="str">
        <x:v>Critical</x:v>
      </x:c>
      <x:c r="I122" s="42" t="n">
        <x:f>INDEX('Sprint Plan'!$D$9:$D$20,MATCH(B122,'Sprint Plan'!$A$9:$A$20,0))</x:f>
        <x:v>46246</x:v>
      </x:c>
      <x:c r="J122" s="42" t="n">
        <x:f>INDEX('Sprint Plan'!$E$9:$E$20,MATCH(B122,'Sprint Plan'!$A$9:$A$20,0))</x:f>
        <x:v>46259</x:v>
      </x:c>
      <x:c r="K122" s="28" t="str">
        <x:v>TBD</x:v>
      </x:c>
      <x:c r="L122" s="28" t="str">
        <x:v>Not Started</x:v>
      </x:c>
      <x:c r="M122" s="43" t="n">
        <x:v>0</x:v>
      </x:c>
      <x:c r="N122" s="28" t="n">
        <x:v>1</x:v>
      </x:c>
      <x:c r="O122" s="28" t="str"/>
      <x:c r="P122" s="28" t="str"/>
      <x:c r="Q122" s="28" t="str"/>
      <x:c r="R122" s="28" t="str"/>
      <x:c r="S122" s="28" t="str">
        <x:v>High</x:v>
      </x:c>
      <x:c r="T122" s="28" t="str">
        <x:f>IF(L122="Done","Green",IF(L122="Blocked","Red",IF(TODAY()&gt;J122,"Red",IF(M122&gt;=0.6,"Yellow","Green"))))</x:f>
        <x:v>Green</x:v>
      </x:c>
      <x:c r="U122" s="28" t="str"/>
    </x:row>
    <x:row r="123">
      <x:c r="A123" s="28" t="str">
        <x:v>SV-03-0121</x:v>
      </x:c>
      <x:c r="B123" s="28" t="str">
        <x:v>Sprint 3</x:v>
      </x:c>
      <x:c r="C123" s="28" t="str">
        <x:v>Month 2</x:v>
      </x:c>
      <x:c r="D123" s="28" t="str">
        <x:v>Solution Architect</x:v>
      </x:c>
      <x:c r="E123" s="28" t="str">
        <x:v>Sequence</x:v>
      </x:c>
      <x:c r="F123" s="28" t="str">
        <x:v>Desain create VM sequence</x:v>
      </x:c>
      <x:c r="G123" s="28" t="str">
        <x:v>Sequence diagram</x:v>
      </x:c>
      <x:c r="H123" s="28" t="str">
        <x:v>Critical</x:v>
      </x:c>
      <x:c r="I123" s="42" t="n">
        <x:f>INDEX('Sprint Plan'!$D$9:$D$20,MATCH(B123,'Sprint Plan'!$A$9:$A$20,0))</x:f>
        <x:v>46246</x:v>
      </x:c>
      <x:c r="J123" s="42" t="n">
        <x:f>INDEX('Sprint Plan'!$E$9:$E$20,MATCH(B123,'Sprint Plan'!$A$9:$A$20,0))</x:f>
        <x:v>46259</x:v>
      </x:c>
      <x:c r="K123" s="28" t="str">
        <x:v>TBD</x:v>
      </x:c>
      <x:c r="L123" s="28" t="str">
        <x:v>Not Started</x:v>
      </x:c>
      <x:c r="M123" s="43" t="n">
        <x:v>0</x:v>
      </x:c>
      <x:c r="N123" s="28" t="n">
        <x:v>1</x:v>
      </x:c>
      <x:c r="O123" s="28" t="str"/>
      <x:c r="P123" s="28" t="str"/>
      <x:c r="Q123" s="28" t="str"/>
      <x:c r="R123" s="28" t="str"/>
      <x:c r="S123" s="28" t="str">
        <x:v>High</x:v>
      </x:c>
      <x:c r="T123" s="28" t="str">
        <x:f>IF(L123="Done","Green",IF(L123="Blocked","Red",IF(TODAY()&gt;J123,"Red",IF(M123&gt;=0.6,"Yellow","Green"))))</x:f>
        <x:v>Green</x:v>
      </x:c>
      <x:c r="U123" s="28" t="str"/>
    </x:row>
    <x:row r="124">
      <x:c r="A124" s="28" t="str">
        <x:v>SV-03-0122</x:v>
      </x:c>
      <x:c r="B124" s="28" t="str">
        <x:v>Sprint 3</x:v>
      </x:c>
      <x:c r="C124" s="28" t="str">
        <x:v>Month 2</x:v>
      </x:c>
      <x:c r="D124" s="28" t="str">
        <x:v>Solution Architect</x:v>
      </x:c>
      <x:c r="E124" s="28" t="str">
        <x:v>Queue</x:v>
      </x:c>
      <x:c r="F124" s="28" t="str">
        <x:v>Desain job queue flow</x:v>
      </x:c>
      <x:c r="G124" s="28" t="str">
        <x:v>Job flow</x:v>
      </x:c>
      <x:c r="H124" s="28" t="str">
        <x:v>Critical</x:v>
      </x:c>
      <x:c r="I124" s="42" t="n">
        <x:f>INDEX('Sprint Plan'!$D$9:$D$20,MATCH(B124,'Sprint Plan'!$A$9:$A$20,0))</x:f>
        <x:v>46246</x:v>
      </x:c>
      <x:c r="J124" s="42" t="n">
        <x:f>INDEX('Sprint Plan'!$E$9:$E$20,MATCH(B124,'Sprint Plan'!$A$9:$A$20,0))</x:f>
        <x:v>46259</x:v>
      </x:c>
      <x:c r="K124" s="28" t="str">
        <x:v>TBD</x:v>
      </x:c>
      <x:c r="L124" s="28" t="str">
        <x:v>Not Started</x:v>
      </x:c>
      <x:c r="M124" s="43" t="n">
        <x:v>0</x:v>
      </x:c>
      <x:c r="N124" s="28" t="n">
        <x:v>1</x:v>
      </x:c>
      <x:c r="O124" s="28" t="str"/>
      <x:c r="P124" s="28" t="str"/>
      <x:c r="Q124" s="28" t="str"/>
      <x:c r="R124" s="28" t="str"/>
      <x:c r="S124" s="28" t="str">
        <x:v>High</x:v>
      </x:c>
      <x:c r="T124" s="28" t="str">
        <x:f>IF(L124="Done","Green",IF(L124="Blocked","Red",IF(TODAY()&gt;J124,"Red",IF(M124&gt;=0.6,"Yellow","Green"))))</x:f>
        <x:v>Green</x:v>
      </x:c>
      <x:c r="U124" s="28" t="str"/>
    </x:row>
    <x:row r="125">
      <x:c r="A125" s="28" t="str">
        <x:v>SV-03-0123</x:v>
      </x:c>
      <x:c r="B125" s="28" t="str">
        <x:v>Sprint 3</x:v>
      </x:c>
      <x:c r="C125" s="28" t="str">
        <x:v>Month 2</x:v>
      </x:c>
      <x:c r="D125" s="28" t="str">
        <x:v>Solution Architect</x:v>
      </x:c>
      <x:c r="E125" s="28" t="str">
        <x:v>Rollback</x:v>
      </x:c>
      <x:c r="F125" s="28" t="str">
        <x:v>Desain rollback/error handling create VM</x:v>
      </x:c>
      <x:c r="G125" s="28" t="str">
        <x:v>Error handling</x:v>
      </x:c>
      <x:c r="H125" s="28" t="str">
        <x:v>Critical</x:v>
      </x:c>
      <x:c r="I125" s="42" t="n">
        <x:f>INDEX('Sprint Plan'!$D$9:$D$20,MATCH(B125,'Sprint Plan'!$A$9:$A$20,0))</x:f>
        <x:v>46246</x:v>
      </x:c>
      <x:c r="J125" s="42" t="n">
        <x:f>INDEX('Sprint Plan'!$E$9:$E$20,MATCH(B125,'Sprint Plan'!$A$9:$A$20,0))</x:f>
        <x:v>46259</x:v>
      </x:c>
      <x:c r="K125" s="28" t="str">
        <x:v>TBD</x:v>
      </x:c>
      <x:c r="L125" s="28" t="str">
        <x:v>Not Started</x:v>
      </x:c>
      <x:c r="M125" s="43" t="n">
        <x:v>0</x:v>
      </x:c>
      <x:c r="N125" s="28" t="n">
        <x:v>1</x:v>
      </x:c>
      <x:c r="O125" s="28" t="str"/>
      <x:c r="P125" s="28" t="str"/>
      <x:c r="Q125" s="28" t="str"/>
      <x:c r="R125" s="28" t="str"/>
      <x:c r="S125" s="28" t="str">
        <x:v>High</x:v>
      </x:c>
      <x:c r="T125" s="28" t="str">
        <x:f>IF(L125="Done","Green",IF(L125="Blocked","Red",IF(TODAY()&gt;J125,"Red",IF(M125&gt;=0.6,"Yellow","Green"))))</x:f>
        <x:v>Green</x:v>
      </x:c>
      <x:c r="U125" s="28" t="str"/>
    </x:row>
    <x:row r="126">
      <x:c r="A126" s="28" t="str">
        <x:v>SV-03-0124</x:v>
      </x:c>
      <x:c r="B126" s="28" t="str">
        <x:v>Sprint 3</x:v>
      </x:c>
      <x:c r="C126" s="28" t="str">
        <x:v>Month 2</x:v>
      </x:c>
      <x:c r="D126" s="28" t="str">
        <x:v>Solution Architect</x:v>
      </x:c>
      <x:c r="E126" s="28" t="str">
        <x:v>State</x:v>
      </x:c>
      <x:c r="F126" s="28" t="str">
        <x:v>Review VM lifecycle state mapping</x:v>
      </x:c>
      <x:c r="G126" s="28" t="str">
        <x:v>State mapping</x:v>
      </x:c>
      <x:c r="H126" s="28" t="str">
        <x:v>Critical</x:v>
      </x:c>
      <x:c r="I126" s="42" t="n">
        <x:f>INDEX('Sprint Plan'!$D$9:$D$20,MATCH(B126,'Sprint Plan'!$A$9:$A$20,0))</x:f>
        <x:v>46246</x:v>
      </x:c>
      <x:c r="J126" s="42" t="n">
        <x:f>INDEX('Sprint Plan'!$E$9:$E$20,MATCH(B126,'Sprint Plan'!$A$9:$A$20,0))</x:f>
        <x:v>46259</x:v>
      </x:c>
      <x:c r="K126" s="28" t="str">
        <x:v>TBD</x:v>
      </x:c>
      <x:c r="L126" s="28" t="str">
        <x:v>Not Started</x:v>
      </x:c>
      <x:c r="M126" s="43" t="n">
        <x:v>0</x:v>
      </x:c>
      <x:c r="N126" s="28" t="n">
        <x:v>1</x:v>
      </x:c>
      <x:c r="O126" s="28" t="str"/>
      <x:c r="P126" s="28" t="str"/>
      <x:c r="Q126" s="28" t="str"/>
      <x:c r="R126" s="28" t="str"/>
      <x:c r="S126" s="28" t="str">
        <x:v>High</x:v>
      </x:c>
      <x:c r="T126" s="28" t="str">
        <x:f>IF(L126="Done","Green",IF(L126="Blocked","Red",IF(TODAY()&gt;J126,"Red",IF(M126&gt;=0.6,"Yellow","Green"))))</x:f>
        <x:v>Green</x:v>
      </x:c>
      <x:c r="U126" s="28" t="str"/>
    </x:row>
    <x:row r="127">
      <x:c r="A127" s="28" t="str">
        <x:v>SV-03-0125</x:v>
      </x:c>
      <x:c r="B127" s="28" t="str">
        <x:v>Sprint 3</x:v>
      </x:c>
      <x:c r="C127" s="28" t="str">
        <x:v>Month 2</x:v>
      </x:c>
      <x:c r="D127" s="28" t="str">
        <x:v>Solution Architect</x:v>
      </x:c>
      <x:c r="E127" s="28" t="str">
        <x:v>Quota</x:v>
      </x:c>
      <x:c r="F127" s="28" t="str">
        <x:v>Review quota impact awal</x:v>
      </x:c>
      <x:c r="G127" s="28" t="str">
        <x:v>Quota note</x:v>
      </x:c>
      <x:c r="H127" s="28" t="str">
        <x:v>Critical</x:v>
      </x:c>
      <x:c r="I127" s="42" t="n">
        <x:f>INDEX('Sprint Plan'!$D$9:$D$20,MATCH(B127,'Sprint Plan'!$A$9:$A$20,0))</x:f>
        <x:v>46246</x:v>
      </x:c>
      <x:c r="J127" s="42" t="n">
        <x:f>INDEX('Sprint Plan'!$E$9:$E$20,MATCH(B127,'Sprint Plan'!$A$9:$A$20,0))</x:f>
        <x:v>46259</x:v>
      </x:c>
      <x:c r="K127" s="28" t="str">
        <x:v>TBD</x:v>
      </x:c>
      <x:c r="L127" s="28" t="str">
        <x:v>Not Started</x:v>
      </x:c>
      <x:c r="M127" s="43" t="n">
        <x:v>0</x:v>
      </x:c>
      <x:c r="N127" s="28" t="n">
        <x:v>1</x:v>
      </x:c>
      <x:c r="O127" s="28" t="str"/>
      <x:c r="P127" s="28" t="str"/>
      <x:c r="Q127" s="28" t="str"/>
      <x:c r="R127" s="28" t="str"/>
      <x:c r="S127" s="28" t="str">
        <x:v>High</x:v>
      </x:c>
      <x:c r="T127" s="28" t="str">
        <x:f>IF(L127="Done","Green",IF(L127="Blocked","Red",IF(TODAY()&gt;J127,"Red",IF(M127&gt;=0.6,"Yellow","Green"))))</x:f>
        <x:v>Green</x:v>
      </x:c>
      <x:c r="U127" s="28" t="str"/>
    </x:row>
    <x:row r="128">
      <x:c r="A128" s="28" t="str">
        <x:v>SV-03-0126</x:v>
      </x:c>
      <x:c r="B128" s="28" t="str">
        <x:v>Sprint 3</x:v>
      </x:c>
      <x:c r="C128" s="28" t="str">
        <x:v>Month 2</x:v>
      </x:c>
      <x:c r="D128" s="28" t="str">
        <x:v>Infra/OpenNebula Engineer</x:v>
      </x:c>
      <x:c r="E128" s="28" t="str">
        <x:v>Template Ubuntu</x:v>
      </x:c>
      <x:c r="F128" s="28" t="str">
        <x:v>Siapkan template VM Ubuntu</x:v>
      </x:c>
      <x:c r="G128" s="28" t="str">
        <x:v>Template ready</x:v>
      </x:c>
      <x:c r="H128" s="28" t="str">
        <x:v>Critical</x:v>
      </x:c>
      <x:c r="I128" s="42" t="n">
        <x:f>INDEX('Sprint Plan'!$D$9:$D$20,MATCH(B128,'Sprint Plan'!$A$9:$A$20,0))</x:f>
        <x:v>46246</x:v>
      </x:c>
      <x:c r="J128" s="42" t="n">
        <x:f>INDEX('Sprint Plan'!$E$9:$E$20,MATCH(B128,'Sprint Plan'!$A$9:$A$20,0))</x:f>
        <x:v>46259</x:v>
      </x:c>
      <x:c r="K128" s="28" t="str">
        <x:v>TBD</x:v>
      </x:c>
      <x:c r="L128" s="28" t="str">
        <x:v>Not Started</x:v>
      </x:c>
      <x:c r="M128" s="43" t="n">
        <x:v>0</x:v>
      </x:c>
      <x:c r="N128" s="28" t="n">
        <x:v>1</x:v>
      </x:c>
      <x:c r="O128" s="28" t="str"/>
      <x:c r="P128" s="28" t="str"/>
      <x:c r="Q128" s="28" t="str"/>
      <x:c r="R128" s="28" t="str"/>
      <x:c r="S128" s="28" t="str">
        <x:v>High</x:v>
      </x:c>
      <x:c r="T128" s="28" t="str">
        <x:f>IF(L128="Done","Green",IF(L128="Blocked","Red",IF(TODAY()&gt;J128,"Red",IF(M128&gt;=0.6,"Yellow","Green"))))</x:f>
        <x:v>Green</x:v>
      </x:c>
      <x:c r="U128" s="28" t="str"/>
    </x:row>
    <x:row r="129">
      <x:c r="A129" s="28" t="str">
        <x:v>SV-03-0127</x:v>
      </x:c>
      <x:c r="B129" s="28" t="str">
        <x:v>Sprint 3</x:v>
      </x:c>
      <x:c r="C129" s="28" t="str">
        <x:v>Month 2</x:v>
      </x:c>
      <x:c r="D129" s="28" t="str">
        <x:v>Infra/OpenNebula Engineer</x:v>
      </x:c>
      <x:c r="E129" s="28" t="str">
        <x:v>Template Windows</x:v>
      </x:c>
      <x:c r="F129" s="28" t="str">
        <x:v>Siapkan template VM Windows optional</x:v>
      </x:c>
      <x:c r="G129" s="28" t="str">
        <x:v>Template optional</x:v>
      </x:c>
      <x:c r="H129" s="28" t="str">
        <x:v>Critical</x:v>
      </x:c>
      <x:c r="I129" s="42" t="n">
        <x:f>INDEX('Sprint Plan'!$D$9:$D$20,MATCH(B129,'Sprint Plan'!$A$9:$A$20,0))</x:f>
        <x:v>46246</x:v>
      </x:c>
      <x:c r="J129" s="42" t="n">
        <x:f>INDEX('Sprint Plan'!$E$9:$E$20,MATCH(B129,'Sprint Plan'!$A$9:$A$20,0))</x:f>
        <x:v>46259</x:v>
      </x:c>
      <x:c r="K129" s="28" t="str">
        <x:v>TBD</x:v>
      </x:c>
      <x:c r="L129" s="28" t="str">
        <x:v>Not Started</x:v>
      </x:c>
      <x:c r="M129" s="43" t="n">
        <x:v>0</x:v>
      </x:c>
      <x:c r="N129" s="28" t="n">
        <x:v>1</x:v>
      </x:c>
      <x:c r="O129" s="28" t="str"/>
      <x:c r="P129" s="28" t="str"/>
      <x:c r="Q129" s="28" t="str"/>
      <x:c r="R129" s="28" t="str"/>
      <x:c r="S129" s="28" t="str">
        <x:v>High</x:v>
      </x:c>
      <x:c r="T129" s="28" t="str">
        <x:f>IF(L129="Done","Green",IF(L129="Blocked","Red",IF(TODAY()&gt;J129,"Red",IF(M129&gt;=0.6,"Yellow","Green"))))</x:f>
        <x:v>Green</x:v>
      </x:c>
      <x:c r="U129" s="28" t="str"/>
    </x:row>
    <x:row r="130">
      <x:c r="A130" s="28" t="str">
        <x:v>SV-03-0128</x:v>
      </x:c>
      <x:c r="B130" s="28" t="str">
        <x:v>Sprint 3</x:v>
      </x:c>
      <x:c r="C130" s="28" t="str">
        <x:v>Month 2</x:v>
      </x:c>
      <x:c r="D130" s="28" t="str">
        <x:v>Infra/OpenNebula Engineer</x:v>
      </x:c>
      <x:c r="E130" s="28" t="str">
        <x:v>API Create</x:v>
      </x:c>
      <x:c r="F130" s="28" t="str">
        <x:v>Test create VM via OpenNebula API</x:v>
      </x:c>
      <x:c r="G130" s="28" t="str">
        <x:v>API create test</x:v>
      </x:c>
      <x:c r="H130" s="28" t="str">
        <x:v>Critical</x:v>
      </x:c>
      <x:c r="I130" s="42" t="n">
        <x:f>INDEX('Sprint Plan'!$D$9:$D$20,MATCH(B130,'Sprint Plan'!$A$9:$A$20,0))</x:f>
        <x:v>46246</x:v>
      </x:c>
      <x:c r="J130" s="42" t="n">
        <x:f>INDEX('Sprint Plan'!$E$9:$E$20,MATCH(B130,'Sprint Plan'!$A$9:$A$20,0))</x:f>
        <x:v>46259</x:v>
      </x:c>
      <x:c r="K130" s="28" t="str">
        <x:v>TBD</x:v>
      </x:c>
      <x:c r="L130" s="28" t="str">
        <x:v>Not Started</x:v>
      </x:c>
      <x:c r="M130" s="43" t="n">
        <x:v>0</x:v>
      </x:c>
      <x:c r="N130" s="28" t="n">
        <x:v>1</x:v>
      </x:c>
      <x:c r="O130" s="28" t="str"/>
      <x:c r="P130" s="28" t="str"/>
      <x:c r="Q130" s="28" t="str"/>
      <x:c r="R130" s="28" t="str"/>
      <x:c r="S130" s="28" t="str">
        <x:v>High</x:v>
      </x:c>
      <x:c r="T130" s="28" t="str">
        <x:f>IF(L130="Done","Green",IF(L130="Blocked","Red",IF(TODAY()&gt;J130,"Red",IF(M130&gt;=0.6,"Yellow","Green"))))</x:f>
        <x:v>Green</x:v>
      </x:c>
      <x:c r="U130" s="28" t="str"/>
    </x:row>
    <x:row r="131">
      <x:c r="A131" s="28" t="str">
        <x:v>SV-03-0129</x:v>
      </x:c>
      <x:c r="B131" s="28" t="str">
        <x:v>Sprint 3</x:v>
      </x:c>
      <x:c r="C131" s="28" t="str">
        <x:v>Month 2</x:v>
      </x:c>
      <x:c r="D131" s="28" t="str">
        <x:v>Infra/OpenNebula Engineer</x:v>
      </x:c>
      <x:c r="E131" s="28" t="str">
        <x:v>API Action</x:v>
      </x:c>
      <x:c r="F131" s="28" t="str">
        <x:v>Test start/stop/reboot/delete via API</x:v>
      </x:c>
      <x:c r="G131" s="28" t="str">
        <x:v>API action test</x:v>
      </x:c>
      <x:c r="H131" s="28" t="str">
        <x:v>Critical</x:v>
      </x:c>
      <x:c r="I131" s="42" t="n">
        <x:f>INDEX('Sprint Plan'!$D$9:$D$20,MATCH(B131,'Sprint Plan'!$A$9:$A$20,0))</x:f>
        <x:v>46246</x:v>
      </x:c>
      <x:c r="J131" s="42" t="n">
        <x:f>INDEX('Sprint Plan'!$E$9:$E$20,MATCH(B131,'Sprint Plan'!$A$9:$A$20,0))</x:f>
        <x:v>46259</x:v>
      </x:c>
      <x:c r="K131" s="28" t="str">
        <x:v>TBD</x:v>
      </x:c>
      <x:c r="L131" s="28" t="str">
        <x:v>Not Started</x:v>
      </x:c>
      <x:c r="M131" s="43" t="n">
        <x:v>0</x:v>
      </x:c>
      <x:c r="N131" s="28" t="n">
        <x:v>1</x:v>
      </x:c>
      <x:c r="O131" s="28" t="str"/>
      <x:c r="P131" s="28" t="str"/>
      <x:c r="Q131" s="28" t="str"/>
      <x:c r="R131" s="28" t="str"/>
      <x:c r="S131" s="28" t="str">
        <x:v>High</x:v>
      </x:c>
      <x:c r="T131" s="28" t="str">
        <x:f>IF(L131="Done","Green",IF(L131="Blocked","Red",IF(TODAY()&gt;J131,"Red",IF(M131&gt;=0.6,"Yellow","Green"))))</x:f>
        <x:v>Green</x:v>
      </x:c>
      <x:c r="U131" s="28" t="str"/>
    </x:row>
    <x:row r="132">
      <x:c r="A132" s="28" t="str">
        <x:v>SV-03-0130</x:v>
      </x:c>
      <x:c r="B132" s="28" t="str">
        <x:v>Sprint 3</x:v>
      </x:c>
      <x:c r="C132" s="28" t="str">
        <x:v>Month 2</x:v>
      </x:c>
      <x:c r="D132" s="28" t="str">
        <x:v>Infra/OpenNebula Engineer</x:v>
      </x:c>
      <x:c r="E132" s="28" t="str">
        <x:v>Console</x:v>
      </x:c>
      <x:c r="F132" s="28" t="str">
        <x:v>Test console access</x:v>
      </x:c>
      <x:c r="G132" s="28" t="str">
        <x:v>Console test</x:v>
      </x:c>
      <x:c r="H132" s="28" t="str">
        <x:v>Critical</x:v>
      </x:c>
      <x:c r="I132" s="42" t="n">
        <x:f>INDEX('Sprint Plan'!$D$9:$D$20,MATCH(B132,'Sprint Plan'!$A$9:$A$20,0))</x:f>
        <x:v>46246</x:v>
      </x:c>
      <x:c r="J132" s="42" t="n">
        <x:f>INDEX('Sprint Plan'!$E$9:$E$20,MATCH(B132,'Sprint Plan'!$A$9:$A$20,0))</x:f>
        <x:v>46259</x:v>
      </x:c>
      <x:c r="K132" s="28" t="str">
        <x:v>TBD</x:v>
      </x:c>
      <x:c r="L132" s="28" t="str">
        <x:v>Not Started</x:v>
      </x:c>
      <x:c r="M132" s="43" t="n">
        <x:v>0</x:v>
      </x:c>
      <x:c r="N132" s="28" t="n">
        <x:v>1</x:v>
      </x:c>
      <x:c r="O132" s="28" t="str"/>
      <x:c r="P132" s="28" t="str"/>
      <x:c r="Q132" s="28" t="str"/>
      <x:c r="R132" s="28" t="str"/>
      <x:c r="S132" s="28" t="str">
        <x:v>High</x:v>
      </x:c>
      <x:c r="T132" s="28" t="str">
        <x:f>IF(L132="Done","Green",IF(L132="Blocked","Red",IF(TODAY()&gt;J132,"Red",IF(M132&gt;=0.6,"Yellow","Green"))))</x:f>
        <x:v>Green</x:v>
      </x:c>
      <x:c r="U132" s="28" t="str"/>
    </x:row>
    <x:row r="133">
      <x:c r="A133" s="28" t="str">
        <x:v>SV-03-0131</x:v>
      </x:c>
      <x:c r="B133" s="28" t="str">
        <x:v>Sprint 3</x:v>
      </x:c>
      <x:c r="C133" s="28" t="str">
        <x:v>Month 2</x:v>
      </x:c>
      <x:c r="D133" s="28" t="str">
        <x:v>Backend Engineer</x:v>
      </x:c>
      <x:c r="E133" s="28" t="str">
        <x:v>Create VM</x:v>
      </x:c>
      <x:c r="F133" s="28" t="str">
        <x:v>Implement create VM API</x:v>
      </x:c>
      <x:c r="G133" s="28" t="str">
        <x:v>/api/vms</x:v>
      </x:c>
      <x:c r="H133" s="28" t="str">
        <x:v>Critical</x:v>
      </x:c>
      <x:c r="I133" s="42" t="n">
        <x:f>INDEX('Sprint Plan'!$D$9:$D$20,MATCH(B133,'Sprint Plan'!$A$9:$A$20,0))</x:f>
        <x:v>46246</x:v>
      </x:c>
      <x:c r="J133" s="42" t="n">
        <x:f>INDEX('Sprint Plan'!$E$9:$E$20,MATCH(B133,'Sprint Plan'!$A$9:$A$20,0))</x:f>
        <x:v>46259</x:v>
      </x:c>
      <x:c r="K133" s="28" t="str">
        <x:v>TBD</x:v>
      </x:c>
      <x:c r="L133" s="28" t="str">
        <x:v>Not Started</x:v>
      </x:c>
      <x:c r="M133" s="43" t="n">
        <x:v>0</x:v>
      </x:c>
      <x:c r="N133" s="28" t="n">
        <x:v>1</x:v>
      </x:c>
      <x:c r="O133" s="28" t="str"/>
      <x:c r="P133" s="28" t="str"/>
      <x:c r="Q133" s="28" t="str"/>
      <x:c r="R133" s="28" t="str"/>
      <x:c r="S133" s="28" t="str">
        <x:v>High</x:v>
      </x:c>
      <x:c r="T133" s="28" t="str">
        <x:f>IF(L133="Done","Green",IF(L133="Blocked","Red",IF(TODAY()&gt;J133,"Red",IF(M133&gt;=0.6,"Yellow","Green"))))</x:f>
        <x:v>Green</x:v>
      </x:c>
      <x:c r="U133" s="28" t="str"/>
    </x:row>
    <x:row r="134">
      <x:c r="A134" s="28" t="str">
        <x:v>SV-03-0132</x:v>
      </x:c>
      <x:c r="B134" s="28" t="str">
        <x:v>Sprint 3</x:v>
      </x:c>
      <x:c r="C134" s="28" t="str">
        <x:v>Month 2</x:v>
      </x:c>
      <x:c r="D134" s="28" t="str">
        <x:v>Backend Engineer</x:v>
      </x:c>
      <x:c r="E134" s="28" t="str">
        <x:v>Actions</x:v>
      </x:c>
      <x:c r="F134" s="28" t="str">
        <x:v>Implement start/stop/reboot/delete VM</x:v>
      </x:c>
      <x:c r="G134" s="28" t="str">
        <x:v>VM action APIs</x:v>
      </x:c>
      <x:c r="H134" s="28" t="str">
        <x:v>Critical</x:v>
      </x:c>
      <x:c r="I134" s="42" t="n">
        <x:f>INDEX('Sprint Plan'!$D$9:$D$20,MATCH(B134,'Sprint Plan'!$A$9:$A$20,0))</x:f>
        <x:v>46246</x:v>
      </x:c>
      <x:c r="J134" s="42" t="n">
        <x:f>INDEX('Sprint Plan'!$E$9:$E$20,MATCH(B134,'Sprint Plan'!$A$9:$A$20,0))</x:f>
        <x:v>46259</x:v>
      </x:c>
      <x:c r="K134" s="28" t="str">
        <x:v>TBD</x:v>
      </x:c>
      <x:c r="L134" s="28" t="str">
        <x:v>Not Started</x:v>
      </x:c>
      <x:c r="M134" s="43" t="n">
        <x:v>0</x:v>
      </x:c>
      <x:c r="N134" s="28" t="n">
        <x:v>1</x:v>
      </x:c>
      <x:c r="O134" s="28" t="str"/>
      <x:c r="P134" s="28" t="str"/>
      <x:c r="Q134" s="28" t="str"/>
      <x:c r="R134" s="28" t="str"/>
      <x:c r="S134" s="28" t="str">
        <x:v>High</x:v>
      </x:c>
      <x:c r="T134" s="28" t="str">
        <x:f>IF(L134="Done","Green",IF(L134="Blocked","Red",IF(TODAY()&gt;J134,"Red",IF(M134&gt;=0.6,"Yellow","Green"))))</x:f>
        <x:v>Green</x:v>
      </x:c>
      <x:c r="U134" s="28" t="str"/>
    </x:row>
    <x:row r="135">
      <x:c r="A135" s="28" t="str">
        <x:v>SV-03-0133</x:v>
      </x:c>
      <x:c r="B135" s="28" t="str">
        <x:v>Sprint 3</x:v>
      </x:c>
      <x:c r="C135" s="28" t="str">
        <x:v>Month 2</x:v>
      </x:c>
      <x:c r="D135" s="28" t="str">
        <x:v>Backend Engineer</x:v>
      </x:c>
      <x:c r="E135" s="28" t="str">
        <x:v>Job</x:v>
      </x:c>
      <x:c r="F135" s="28" t="str">
        <x:v>Implement job queue dan job status</x:v>
      </x:c>
      <x:c r="G135" s="28" t="str">
        <x:v>Job queue/status</x:v>
      </x:c>
      <x:c r="H135" s="28" t="str">
        <x:v>Critical</x:v>
      </x:c>
      <x:c r="I135" s="42" t="n">
        <x:f>INDEX('Sprint Plan'!$D$9:$D$20,MATCH(B135,'Sprint Plan'!$A$9:$A$20,0))</x:f>
        <x:v>46246</x:v>
      </x:c>
      <x:c r="J135" s="42" t="n">
        <x:f>INDEX('Sprint Plan'!$E$9:$E$20,MATCH(B135,'Sprint Plan'!$A$9:$A$20,0))</x:f>
        <x:v>46259</x:v>
      </x:c>
      <x:c r="K135" s="28" t="str">
        <x:v>TBD</x:v>
      </x:c>
      <x:c r="L135" s="28" t="str">
        <x:v>Not Started</x:v>
      </x:c>
      <x:c r="M135" s="43" t="n">
        <x:v>0</x:v>
      </x:c>
      <x:c r="N135" s="28" t="n">
        <x:v>1</x:v>
      </x:c>
      <x:c r="O135" s="28" t="str"/>
      <x:c r="P135" s="28" t="str"/>
      <x:c r="Q135" s="28" t="str"/>
      <x:c r="R135" s="28" t="str"/>
      <x:c r="S135" s="28" t="str">
        <x:v>High</x:v>
      </x:c>
      <x:c r="T135" s="28" t="str">
        <x:f>IF(L135="Done","Green",IF(L135="Blocked","Red",IF(TODAY()&gt;J135,"Red",IF(M135&gt;=0.6,"Yellow","Green"))))</x:f>
        <x:v>Green</x:v>
      </x:c>
      <x:c r="U135" s="28" t="str"/>
    </x:row>
    <x:row r="136">
      <x:c r="A136" s="28" t="str">
        <x:v>SV-03-0134</x:v>
      </x:c>
      <x:c r="B136" s="28" t="str">
        <x:v>Sprint 3</x:v>
      </x:c>
      <x:c r="C136" s="28" t="str">
        <x:v>Month 2</x:v>
      </x:c>
      <x:c r="D136" s="28" t="str">
        <x:v>Backend Engineer</x:v>
      </x:c>
      <x:c r="E136" s="28" t="str">
        <x:v>Audit</x:v>
      </x:c>
      <x:c r="F136" s="28" t="str">
        <x:v>Implement audit per action</x:v>
      </x:c>
      <x:c r="G136" s="28" t="str">
        <x:v>Action audit</x:v>
      </x:c>
      <x:c r="H136" s="28" t="str">
        <x:v>Critical</x:v>
      </x:c>
      <x:c r="I136" s="42" t="n">
        <x:f>INDEX('Sprint Plan'!$D$9:$D$20,MATCH(B136,'Sprint Plan'!$A$9:$A$20,0))</x:f>
        <x:v>46246</x:v>
      </x:c>
      <x:c r="J136" s="42" t="n">
        <x:f>INDEX('Sprint Plan'!$E$9:$E$20,MATCH(B136,'Sprint Plan'!$A$9:$A$20,0))</x:f>
        <x:v>46259</x:v>
      </x:c>
      <x:c r="K136" s="28" t="str">
        <x:v>TBD</x:v>
      </x:c>
      <x:c r="L136" s="28" t="str">
        <x:v>Not Started</x:v>
      </x:c>
      <x:c r="M136" s="43" t="n">
        <x:v>0</x:v>
      </x:c>
      <x:c r="N136" s="28" t="n">
        <x:v>1</x:v>
      </x:c>
      <x:c r="O136" s="28" t="str"/>
      <x:c r="P136" s="28" t="str"/>
      <x:c r="Q136" s="28" t="str"/>
      <x:c r="R136" s="28" t="str"/>
      <x:c r="S136" s="28" t="str">
        <x:v>High</x:v>
      </x:c>
      <x:c r="T136" s="28" t="str">
        <x:f>IF(L136="Done","Green",IF(L136="Blocked","Red",IF(TODAY()&gt;J136,"Red",IF(M136&gt;=0.6,"Yellow","Green"))))</x:f>
        <x:v>Green</x:v>
      </x:c>
      <x:c r="U136" s="28" t="str"/>
    </x:row>
    <x:row r="137">
      <x:c r="A137" s="28" t="str">
        <x:v>SV-03-0135</x:v>
      </x:c>
      <x:c r="B137" s="28" t="str">
        <x:v>Sprint 3</x:v>
      </x:c>
      <x:c r="C137" s="28" t="str">
        <x:v>Month 2</x:v>
      </x:c>
      <x:c r="D137" s="28" t="str">
        <x:v>Backend Engineer</x:v>
      </x:c>
      <x:c r="E137" s="28" t="str">
        <x:v>Validation</x:v>
      </x:c>
      <x:c r="F137" s="28" t="str">
        <x:v>Implement DTO validation</x:v>
      </x:c>
      <x:c r="G137" s="28" t="str">
        <x:v>Validation</x:v>
      </x:c>
      <x:c r="H137" s="28" t="str">
        <x:v>Critical</x:v>
      </x:c>
      <x:c r="I137" s="42" t="n">
        <x:f>INDEX('Sprint Plan'!$D$9:$D$20,MATCH(B137,'Sprint Plan'!$A$9:$A$20,0))</x:f>
        <x:v>46246</x:v>
      </x:c>
      <x:c r="J137" s="42" t="n">
        <x:f>INDEX('Sprint Plan'!$E$9:$E$20,MATCH(B137,'Sprint Plan'!$A$9:$A$20,0))</x:f>
        <x:v>46259</x:v>
      </x:c>
      <x:c r="K137" s="28" t="str">
        <x:v>TBD</x:v>
      </x:c>
      <x:c r="L137" s="28" t="str">
        <x:v>Not Started</x:v>
      </x:c>
      <x:c r="M137" s="43" t="n">
        <x:v>0</x:v>
      </x:c>
      <x:c r="N137" s="28" t="n">
        <x:v>1</x:v>
      </x:c>
      <x:c r="O137" s="28" t="str"/>
      <x:c r="P137" s="28" t="str"/>
      <x:c r="Q137" s="28" t="str"/>
      <x:c r="R137" s="28" t="str"/>
      <x:c r="S137" s="28" t="str">
        <x:v>High</x:v>
      </x:c>
      <x:c r="T137" s="28" t="str">
        <x:f>IF(L137="Done","Green",IF(L137="Blocked","Red",IF(TODAY()&gt;J137,"Red",IF(M137&gt;=0.6,"Yellow","Green"))))</x:f>
        <x:v>Green</x:v>
      </x:c>
      <x:c r="U137" s="28" t="str"/>
    </x:row>
    <x:row r="138">
      <x:c r="A138" s="28" t="str">
        <x:v>SV-03-0136</x:v>
      </x:c>
      <x:c r="B138" s="28" t="str">
        <x:v>Sprint 3</x:v>
      </x:c>
      <x:c r="C138" s="28" t="str">
        <x:v>Month 2</x:v>
      </x:c>
      <x:c r="D138" s="28" t="str">
        <x:v>Frontend Engineer</x:v>
      </x:c>
      <x:c r="E138" s="28" t="str">
        <x:v>Wizard</x:v>
      </x:c>
      <x:c r="F138" s="28" t="str">
        <x:v>Buat create VM wizard</x:v>
      </x:c>
      <x:c r="G138" s="28" t="str">
        <x:v>Wizard UI</x:v>
      </x:c>
      <x:c r="H138" s="28" t="str">
        <x:v>Critical</x:v>
      </x:c>
      <x:c r="I138" s="42" t="n">
        <x:f>INDEX('Sprint Plan'!$D$9:$D$20,MATCH(B138,'Sprint Plan'!$A$9:$A$20,0))</x:f>
        <x:v>46246</x:v>
      </x:c>
      <x:c r="J138" s="42" t="n">
        <x:f>INDEX('Sprint Plan'!$E$9:$E$20,MATCH(B138,'Sprint Plan'!$A$9:$A$20,0))</x:f>
        <x:v>46259</x:v>
      </x:c>
      <x:c r="K138" s="28" t="str">
        <x:v>TBD</x:v>
      </x:c>
      <x:c r="L138" s="28" t="str">
        <x:v>Not Started</x:v>
      </x:c>
      <x:c r="M138" s="43" t="n">
        <x:v>0</x:v>
      </x:c>
      <x:c r="N138" s="28" t="n">
        <x:v>1</x:v>
      </x:c>
      <x:c r="O138" s="28" t="str"/>
      <x:c r="P138" s="28" t="str"/>
      <x:c r="Q138" s="28" t="str"/>
      <x:c r="R138" s="28" t="str"/>
      <x:c r="S138" s="28" t="str">
        <x:v>High</x:v>
      </x:c>
      <x:c r="T138" s="28" t="str">
        <x:f>IF(L138="Done","Green",IF(L138="Blocked","Red",IF(TODAY()&gt;J138,"Red",IF(M138&gt;=0.6,"Yellow","Green"))))</x:f>
        <x:v>Green</x:v>
      </x:c>
      <x:c r="U138" s="28" t="str"/>
    </x:row>
    <x:row r="139">
      <x:c r="A139" s="28" t="str">
        <x:v>SV-03-0137</x:v>
      </x:c>
      <x:c r="B139" s="28" t="str">
        <x:v>Sprint 3</x:v>
      </x:c>
      <x:c r="C139" s="28" t="str">
        <x:v>Month 2</x:v>
      </x:c>
      <x:c r="D139" s="28" t="str">
        <x:v>Frontend Engineer</x:v>
      </x:c>
      <x:c r="E139" s="28" t="str">
        <x:v>Resources</x:v>
      </x:c>
      <x:c r="F139" s="28" t="str">
        <x:v>Buat form CPU/RAM/disk</x:v>
      </x:c>
      <x:c r="G139" s="28" t="str">
        <x:v>Resource form</x:v>
      </x:c>
      <x:c r="H139" s="28" t="str">
        <x:v>Critical</x:v>
      </x:c>
      <x:c r="I139" s="42" t="n">
        <x:f>INDEX('Sprint Plan'!$D$9:$D$20,MATCH(B139,'Sprint Plan'!$A$9:$A$20,0))</x:f>
        <x:v>46246</x:v>
      </x:c>
      <x:c r="J139" s="42" t="n">
        <x:f>INDEX('Sprint Plan'!$E$9:$E$20,MATCH(B139,'Sprint Plan'!$A$9:$A$20,0))</x:f>
        <x:v>46259</x:v>
      </x:c>
      <x:c r="K139" s="28" t="str">
        <x:v>TBD</x:v>
      </x:c>
      <x:c r="L139" s="28" t="str">
        <x:v>Not Started</x:v>
      </x:c>
      <x:c r="M139" s="43" t="n">
        <x:v>0</x:v>
      </x:c>
      <x:c r="N139" s="28" t="n">
        <x:v>1</x:v>
      </x:c>
      <x:c r="O139" s="28" t="str"/>
      <x:c r="P139" s="28" t="str"/>
      <x:c r="Q139" s="28" t="str"/>
      <x:c r="R139" s="28" t="str"/>
      <x:c r="S139" s="28" t="str">
        <x:v>High</x:v>
      </x:c>
      <x:c r="T139" s="28" t="str">
        <x:f>IF(L139="Done","Green",IF(L139="Blocked","Red",IF(TODAY()&gt;J139,"Red",IF(M139&gt;=0.6,"Yellow","Green"))))</x:f>
        <x:v>Green</x:v>
      </x:c>
      <x:c r="U139" s="28" t="str"/>
    </x:row>
    <x:row r="140">
      <x:c r="A140" s="28" t="str">
        <x:v>SV-03-0138</x:v>
      </x:c>
      <x:c r="B140" s="28" t="str">
        <x:v>Sprint 3</x:v>
      </x:c>
      <x:c r="C140" s="28" t="str">
        <x:v>Month 2</x:v>
      </x:c>
      <x:c r="D140" s="28" t="str">
        <x:v>Frontend Engineer</x:v>
      </x:c>
      <x:c r="E140" s="28" t="str">
        <x:v>Template</x:v>
      </x:c>
      <x:c r="F140" s="28" t="str">
        <x:v>Buat template selection</x:v>
      </x:c>
      <x:c r="G140" s="28" t="str">
        <x:v>Template selector</x:v>
      </x:c>
      <x:c r="H140" s="28" t="str">
        <x:v>Critical</x:v>
      </x:c>
      <x:c r="I140" s="42" t="n">
        <x:f>INDEX('Sprint Plan'!$D$9:$D$20,MATCH(B140,'Sprint Plan'!$A$9:$A$20,0))</x:f>
        <x:v>46246</x:v>
      </x:c>
      <x:c r="J140" s="42" t="n">
        <x:f>INDEX('Sprint Plan'!$E$9:$E$20,MATCH(B140,'Sprint Plan'!$A$9:$A$20,0))</x:f>
        <x:v>46259</x:v>
      </x:c>
      <x:c r="K140" s="28" t="str">
        <x:v>TBD</x:v>
      </x:c>
      <x:c r="L140" s="28" t="str">
        <x:v>Not Started</x:v>
      </x:c>
      <x:c r="M140" s="43" t="n">
        <x:v>0</x:v>
      </x:c>
      <x:c r="N140" s="28" t="n">
        <x:v>1</x:v>
      </x:c>
      <x:c r="O140" s="28" t="str"/>
      <x:c r="P140" s="28" t="str"/>
      <x:c r="Q140" s="28" t="str"/>
      <x:c r="R140" s="28" t="str"/>
      <x:c r="S140" s="28" t="str">
        <x:v>High</x:v>
      </x:c>
      <x:c r="T140" s="28" t="str">
        <x:f>IF(L140="Done","Green",IF(L140="Blocked","Red",IF(TODAY()&gt;J140,"Red",IF(M140&gt;=0.6,"Yellow","Green"))))</x:f>
        <x:v>Green</x:v>
      </x:c>
      <x:c r="U140" s="28" t="str"/>
    </x:row>
    <x:row r="141">
      <x:c r="A141" s="28" t="str">
        <x:v>SV-03-0139</x:v>
      </x:c>
      <x:c r="B141" s="28" t="str">
        <x:v>Sprint 3</x:v>
      </x:c>
      <x:c r="C141" s="28" t="str">
        <x:v>Month 2</x:v>
      </x:c>
      <x:c r="D141" s="28" t="str">
        <x:v>Frontend Engineer</x:v>
      </x:c>
      <x:c r="E141" s="28" t="str">
        <x:v>Network</x:v>
      </x:c>
      <x:c r="F141" s="28" t="str">
        <x:v>Buat network selection</x:v>
      </x:c>
      <x:c r="G141" s="28" t="str">
        <x:v>Network selector</x:v>
      </x:c>
      <x:c r="H141" s="28" t="str">
        <x:v>Critical</x:v>
      </x:c>
      <x:c r="I141" s="42" t="n">
        <x:f>INDEX('Sprint Plan'!$D$9:$D$20,MATCH(B141,'Sprint Plan'!$A$9:$A$20,0))</x:f>
        <x:v>46246</x:v>
      </x:c>
      <x:c r="J141" s="42" t="n">
        <x:f>INDEX('Sprint Plan'!$E$9:$E$20,MATCH(B141,'Sprint Plan'!$A$9:$A$20,0))</x:f>
        <x:v>46259</x:v>
      </x:c>
      <x:c r="K141" s="28" t="str">
        <x:v>TBD</x:v>
      </x:c>
      <x:c r="L141" s="28" t="str">
        <x:v>Not Started</x:v>
      </x:c>
      <x:c r="M141" s="43" t="n">
        <x:v>0</x:v>
      </x:c>
      <x:c r="N141" s="28" t="n">
        <x:v>1</x:v>
      </x:c>
      <x:c r="O141" s="28" t="str"/>
      <x:c r="P141" s="28" t="str"/>
      <x:c r="Q141" s="28" t="str"/>
      <x:c r="R141" s="28" t="str"/>
      <x:c r="S141" s="28" t="str">
        <x:v>High</x:v>
      </x:c>
      <x:c r="T141" s="28" t="str">
        <x:f>IF(L141="Done","Green",IF(L141="Blocked","Red",IF(TODAY()&gt;J141,"Red",IF(M141&gt;=0.6,"Yellow","Green"))))</x:f>
        <x:v>Green</x:v>
      </x:c>
      <x:c r="U141" s="28" t="str"/>
    </x:row>
    <x:row r="142">
      <x:c r="A142" s="28" t="str">
        <x:v>SV-03-0140</x:v>
      </x:c>
      <x:c r="B142" s="28" t="str">
        <x:v>Sprint 3</x:v>
      </x:c>
      <x:c r="C142" s="28" t="str">
        <x:v>Month 2</x:v>
      </x:c>
      <x:c r="D142" s="28" t="str">
        <x:v>Frontend Engineer</x:v>
      </x:c>
      <x:c r="E142" s="28" t="str">
        <x:v>Actions</x:v>
      </x:c>
      <x:c r="F142" s="28" t="str">
        <x:v>Buat action button, progress UI, confirmation modal</x:v>
      </x:c>
      <x:c r="G142" s="28" t="str">
        <x:v>Action UI</x:v>
      </x:c>
      <x:c r="H142" s="28" t="str">
        <x:v>Critical</x:v>
      </x:c>
      <x:c r="I142" s="42" t="n">
        <x:f>INDEX('Sprint Plan'!$D$9:$D$20,MATCH(B142,'Sprint Plan'!$A$9:$A$20,0))</x:f>
        <x:v>46246</x:v>
      </x:c>
      <x:c r="J142" s="42" t="n">
        <x:f>INDEX('Sprint Plan'!$E$9:$E$20,MATCH(B142,'Sprint Plan'!$A$9:$A$20,0))</x:f>
        <x:v>46259</x:v>
      </x:c>
      <x:c r="K142" s="28" t="str">
        <x:v>TBD</x:v>
      </x:c>
      <x:c r="L142" s="28" t="str">
        <x:v>Not Started</x:v>
      </x:c>
      <x:c r="M142" s="43" t="n">
        <x:v>0</x:v>
      </x:c>
      <x:c r="N142" s="28" t="n">
        <x:v>1</x:v>
      </x:c>
      <x:c r="O142" s="28" t="str"/>
      <x:c r="P142" s="28" t="str"/>
      <x:c r="Q142" s="28" t="str"/>
      <x:c r="R142" s="28" t="str"/>
      <x:c r="S142" s="28" t="str">
        <x:v>High</x:v>
      </x:c>
      <x:c r="T142" s="28" t="str">
        <x:f>IF(L142="Done","Green",IF(L142="Blocked","Red",IF(TODAY()&gt;J142,"Red",IF(M142&gt;=0.6,"Yellow","Green"))))</x:f>
        <x:v>Green</x:v>
      </x:c>
      <x:c r="U142" s="28" t="str"/>
    </x:row>
    <x:row r="143">
      <x:c r="A143" s="28" t="str">
        <x:v>SV-03-0141</x:v>
      </x:c>
      <x:c r="B143" s="28" t="str">
        <x:v>Sprint 3</x:v>
      </x:c>
      <x:c r="C143" s="28" t="str">
        <x:v>Month 2</x:v>
      </x:c>
      <x:c r="D143" s="28" t="str">
        <x:v>QA/Tester</x:v>
      </x:c>
      <x:c r="E143" s="28" t="str">
        <x:v>API Create</x:v>
      </x:c>
      <x:c r="F143" s="28" t="str">
        <x:v>Test create VM dari API</x:v>
      </x:c>
      <x:c r="G143" s="28" t="str">
        <x:v>API lifecycle test</x:v>
      </x:c>
      <x:c r="H143" s="28" t="str">
        <x:v>Critical</x:v>
      </x:c>
      <x:c r="I143" s="42" t="n">
        <x:f>INDEX('Sprint Plan'!$D$9:$D$20,MATCH(B143,'Sprint Plan'!$A$9:$A$20,0))</x:f>
        <x:v>46246</x:v>
      </x:c>
      <x:c r="J143" s="42" t="n">
        <x:f>INDEX('Sprint Plan'!$E$9:$E$20,MATCH(B143,'Sprint Plan'!$A$9:$A$20,0))</x:f>
        <x:v>46259</x:v>
      </x:c>
      <x:c r="K143" s="28" t="str">
        <x:v>TBD</x:v>
      </x:c>
      <x:c r="L143" s="28" t="str">
        <x:v>Not Started</x:v>
      </x:c>
      <x:c r="M143" s="43" t="n">
        <x:v>0</x:v>
      </x:c>
      <x:c r="N143" s="28" t="n">
        <x:v>1</x:v>
      </x:c>
      <x:c r="O143" s="28" t="str"/>
      <x:c r="P143" s="28" t="str"/>
      <x:c r="Q143" s="28" t="str"/>
      <x:c r="R143" s="28" t="str"/>
      <x:c r="S143" s="28" t="str">
        <x:v>High</x:v>
      </x:c>
      <x:c r="T143" s="28" t="str">
        <x:f>IF(L143="Done","Green",IF(L143="Blocked","Red",IF(TODAY()&gt;J143,"Red",IF(M143&gt;=0.6,"Yellow","Green"))))</x:f>
        <x:v>Green</x:v>
      </x:c>
      <x:c r="U143" s="28" t="str"/>
    </x:row>
    <x:row r="144">
      <x:c r="A144" s="28" t="str">
        <x:v>SV-03-0142</x:v>
      </x:c>
      <x:c r="B144" s="28" t="str">
        <x:v>Sprint 3</x:v>
      </x:c>
      <x:c r="C144" s="28" t="str">
        <x:v>Month 2</x:v>
      </x:c>
      <x:c r="D144" s="28" t="str">
        <x:v>QA/Tester</x:v>
      </x:c>
      <x:c r="E144" s="28" t="str">
        <x:v>UI Create</x:v>
      </x:c>
      <x:c r="F144" s="28" t="str">
        <x:v>Test create VM dari UI</x:v>
      </x:c>
      <x:c r="G144" s="28" t="str">
        <x:v>UI lifecycle test</x:v>
      </x:c>
      <x:c r="H144" s="28" t="str">
        <x:v>Critical</x:v>
      </x:c>
      <x:c r="I144" s="42" t="n">
        <x:f>INDEX('Sprint Plan'!$D$9:$D$20,MATCH(B144,'Sprint Plan'!$A$9:$A$20,0))</x:f>
        <x:v>46246</x:v>
      </x:c>
      <x:c r="J144" s="42" t="n">
        <x:f>INDEX('Sprint Plan'!$E$9:$E$20,MATCH(B144,'Sprint Plan'!$A$9:$A$20,0))</x:f>
        <x:v>46259</x:v>
      </x:c>
      <x:c r="K144" s="28" t="str">
        <x:v>TBD</x:v>
      </x:c>
      <x:c r="L144" s="28" t="str">
        <x:v>Not Started</x:v>
      </x:c>
      <x:c r="M144" s="43" t="n">
        <x:v>0</x:v>
      </x:c>
      <x:c r="N144" s="28" t="n">
        <x:v>1</x:v>
      </x:c>
      <x:c r="O144" s="28" t="str"/>
      <x:c r="P144" s="28" t="str"/>
      <x:c r="Q144" s="28" t="str"/>
      <x:c r="R144" s="28" t="str"/>
      <x:c r="S144" s="28" t="str">
        <x:v>High</x:v>
      </x:c>
      <x:c r="T144" s="28" t="str">
        <x:f>IF(L144="Done","Green",IF(L144="Blocked","Red",IF(TODAY()&gt;J144,"Red",IF(M144&gt;=0.6,"Yellow","Green"))))</x:f>
        <x:v>Green</x:v>
      </x:c>
      <x:c r="U144" s="28" t="str"/>
    </x:row>
    <x:row r="145">
      <x:c r="A145" s="28" t="str">
        <x:v>SV-03-0143</x:v>
      </x:c>
      <x:c r="B145" s="28" t="str">
        <x:v>Sprint 3</x:v>
      </x:c>
      <x:c r="C145" s="28" t="str">
        <x:v>Month 2</x:v>
      </x:c>
      <x:c r="D145" s="28" t="str">
        <x:v>QA/Tester</x:v>
      </x:c>
      <x:c r="E145" s="28" t="str">
        <x:v>Actions</x:v>
      </x:c>
      <x:c r="F145" s="28" t="str">
        <x:v>Test start/stop/reboot/delete</x:v>
      </x:c>
      <x:c r="G145" s="28" t="str">
        <x:v>Action test</x:v>
      </x:c>
      <x:c r="H145" s="28" t="str">
        <x:v>Critical</x:v>
      </x:c>
      <x:c r="I145" s="42" t="n">
        <x:f>INDEX('Sprint Plan'!$D$9:$D$20,MATCH(B145,'Sprint Plan'!$A$9:$A$20,0))</x:f>
        <x:v>46246</x:v>
      </x:c>
      <x:c r="J145" s="42" t="n">
        <x:f>INDEX('Sprint Plan'!$E$9:$E$20,MATCH(B145,'Sprint Plan'!$A$9:$A$20,0))</x:f>
        <x:v>46259</x:v>
      </x:c>
      <x:c r="K145" s="28" t="str">
        <x:v>TBD</x:v>
      </x:c>
      <x:c r="L145" s="28" t="str">
        <x:v>Not Started</x:v>
      </x:c>
      <x:c r="M145" s="43" t="n">
        <x:v>0</x:v>
      </x:c>
      <x:c r="N145" s="28" t="n">
        <x:v>1</x:v>
      </x:c>
      <x:c r="O145" s="28" t="str"/>
      <x:c r="P145" s="28" t="str"/>
      <x:c r="Q145" s="28" t="str"/>
      <x:c r="R145" s="28" t="str"/>
      <x:c r="S145" s="28" t="str">
        <x:v>High</x:v>
      </x:c>
      <x:c r="T145" s="28" t="str">
        <x:f>IF(L145="Done","Green",IF(L145="Blocked","Red",IF(TODAY()&gt;J145,"Red",IF(M145&gt;=0.6,"Yellow","Green"))))</x:f>
        <x:v>Green</x:v>
      </x:c>
      <x:c r="U145" s="28" t="str"/>
    </x:row>
    <x:row r="146">
      <x:c r="A146" s="28" t="str">
        <x:v>SV-03-0144</x:v>
      </x:c>
      <x:c r="B146" s="28" t="str">
        <x:v>Sprint 3</x:v>
      </x:c>
      <x:c r="C146" s="28" t="str">
        <x:v>Month 2</x:v>
      </x:c>
      <x:c r="D146" s="28" t="str">
        <x:v>QA/Tester</x:v>
      </x:c>
      <x:c r="E146" s="28" t="str">
        <x:v>Negative</x:v>
      </x:c>
      <x:c r="F146" s="28" t="str">
        <x:v>Test invalid input</x:v>
      </x:c>
      <x:c r="G146" s="28" t="str">
        <x:v>Negative test</x:v>
      </x:c>
      <x:c r="H146" s="28" t="str">
        <x:v>Critical</x:v>
      </x:c>
      <x:c r="I146" s="42" t="n">
        <x:f>INDEX('Sprint Plan'!$D$9:$D$20,MATCH(B146,'Sprint Plan'!$A$9:$A$20,0))</x:f>
        <x:v>46246</x:v>
      </x:c>
      <x:c r="J146" s="42" t="n">
        <x:f>INDEX('Sprint Plan'!$E$9:$E$20,MATCH(B146,'Sprint Plan'!$A$9:$A$20,0))</x:f>
        <x:v>46259</x:v>
      </x:c>
      <x:c r="K146" s="28" t="str">
        <x:v>TBD</x:v>
      </x:c>
      <x:c r="L146" s="28" t="str">
        <x:v>Not Started</x:v>
      </x:c>
      <x:c r="M146" s="43" t="n">
        <x:v>0</x:v>
      </x:c>
      <x:c r="N146" s="28" t="n">
        <x:v>1</x:v>
      </x:c>
      <x:c r="O146" s="28" t="str"/>
      <x:c r="P146" s="28" t="str"/>
      <x:c r="Q146" s="28" t="str"/>
      <x:c r="R146" s="28" t="str"/>
      <x:c r="S146" s="28" t="str">
        <x:v>High</x:v>
      </x:c>
      <x:c r="T146" s="28" t="str">
        <x:f>IF(L146="Done","Green",IF(L146="Blocked","Red",IF(TODAY()&gt;J146,"Red",IF(M146&gt;=0.6,"Yellow","Green"))))</x:f>
        <x:v>Green</x:v>
      </x:c>
      <x:c r="U146" s="28" t="str"/>
    </x:row>
    <x:row r="147">
      <x:c r="A147" s="28" t="str">
        <x:v>SV-03-0145</x:v>
      </x:c>
      <x:c r="B147" s="28" t="str">
        <x:v>Sprint 3</x:v>
      </x:c>
      <x:c r="C147" s="28" t="str">
        <x:v>Month 2</x:v>
      </x:c>
      <x:c r="D147" s="28" t="str">
        <x:v>QA/Tester</x:v>
      </x:c>
      <x:c r="E147" s="28" t="str">
        <x:v>Audit</x:v>
      </x:c>
      <x:c r="F147" s="28" t="str">
        <x:v>Test job status dan audit log action</x:v>
      </x:c>
      <x:c r="G147" s="28" t="str">
        <x:v>Job/audit test</x:v>
      </x:c>
      <x:c r="H147" s="28" t="str">
        <x:v>Critical</x:v>
      </x:c>
      <x:c r="I147" s="42" t="n">
        <x:f>INDEX('Sprint Plan'!$D$9:$D$20,MATCH(B147,'Sprint Plan'!$A$9:$A$20,0))</x:f>
        <x:v>46246</x:v>
      </x:c>
      <x:c r="J147" s="42" t="n">
        <x:f>INDEX('Sprint Plan'!$E$9:$E$20,MATCH(B147,'Sprint Plan'!$A$9:$A$20,0))</x:f>
        <x:v>46259</x:v>
      </x:c>
      <x:c r="K147" s="28" t="str">
        <x:v>TBD</x:v>
      </x:c>
      <x:c r="L147" s="28" t="str">
        <x:v>Not Started</x:v>
      </x:c>
      <x:c r="M147" s="43" t="n">
        <x:v>0</x:v>
      </x:c>
      <x:c r="N147" s="28" t="n">
        <x:v>1</x:v>
      </x:c>
      <x:c r="O147" s="28" t="str"/>
      <x:c r="P147" s="28" t="str"/>
      <x:c r="Q147" s="28" t="str"/>
      <x:c r="R147" s="28" t="str"/>
      <x:c r="S147" s="28" t="str">
        <x:v>High</x:v>
      </x:c>
      <x:c r="T147" s="28" t="str">
        <x:f>IF(L147="Done","Green",IF(L147="Blocked","Red",IF(TODAY()&gt;J147,"Red",IF(M147&gt;=0.6,"Yellow","Green"))))</x:f>
        <x:v>Green</x:v>
      </x:c>
      <x:c r="U147" s="28" t="str"/>
    </x:row>
    <x:row r="148">
      <x:c r="A148" s="28" t="str">
        <x:v>SV-03-0146</x:v>
      </x:c>
      <x:c r="B148" s="28" t="str">
        <x:v>Sprint 3</x:v>
      </x:c>
      <x:c r="C148" s="28" t="str">
        <x:v>Month 2</x:v>
      </x:c>
      <x:c r="D148" s="28" t="str">
        <x:v>Technical Writer</x:v>
      </x:c>
      <x:c r="E148" s="28" t="str">
        <x:v>SOP Create</x:v>
      </x:c>
      <x:c r="F148" s="28" t="str">
        <x:v>SOP create VM</x:v>
      </x:c>
      <x:c r="G148" s="28" t="str">
        <x:v>SOP v1</x:v>
      </x:c>
      <x:c r="H148" s="28" t="str">
        <x:v>Critical</x:v>
      </x:c>
      <x:c r="I148" s="42" t="n">
        <x:f>INDEX('Sprint Plan'!$D$9:$D$20,MATCH(B148,'Sprint Plan'!$A$9:$A$20,0))</x:f>
        <x:v>46246</x:v>
      </x:c>
      <x:c r="J148" s="42" t="n">
        <x:f>INDEX('Sprint Plan'!$E$9:$E$20,MATCH(B148,'Sprint Plan'!$A$9:$A$20,0))</x:f>
        <x:v>46259</x:v>
      </x:c>
      <x:c r="K148" s="28" t="str">
        <x:v>TBD</x:v>
      </x:c>
      <x:c r="L148" s="28" t="str">
        <x:v>Not Started</x:v>
      </x:c>
      <x:c r="M148" s="43" t="n">
        <x:v>0</x:v>
      </x:c>
      <x:c r="N148" s="28" t="n">
        <x:v>1</x:v>
      </x:c>
      <x:c r="O148" s="28" t="str"/>
      <x:c r="P148" s="28" t="str"/>
      <x:c r="Q148" s="28" t="str"/>
      <x:c r="R148" s="28" t="str"/>
      <x:c r="S148" s="28" t="str">
        <x:v>High</x:v>
      </x:c>
      <x:c r="T148" s="28" t="str">
        <x:f>IF(L148="Done","Green",IF(L148="Blocked","Red",IF(TODAY()&gt;J148,"Red",IF(M148&gt;=0.6,"Yellow","Green"))))</x:f>
        <x:v>Green</x:v>
      </x:c>
      <x:c r="U148" s="28" t="str"/>
    </x:row>
    <x:row r="149">
      <x:c r="A149" s="28" t="str">
        <x:v>SV-03-0147</x:v>
      </x:c>
      <x:c r="B149" s="28" t="str">
        <x:v>Sprint 3</x:v>
      </x:c>
      <x:c r="C149" s="28" t="str">
        <x:v>Month 2</x:v>
      </x:c>
      <x:c r="D149" s="28" t="str">
        <x:v>Technical Writer</x:v>
      </x:c>
      <x:c r="E149" s="28" t="str">
        <x:v>SOP Actions</x:v>
      </x:c>
      <x:c r="F149" s="28" t="str">
        <x:v>SOP start/stop/reboot</x:v>
      </x:c>
      <x:c r="G149" s="28" t="str">
        <x:v>SOP v1</x:v>
      </x:c>
      <x:c r="H149" s="28" t="str">
        <x:v>Critical</x:v>
      </x:c>
      <x:c r="I149" s="42" t="n">
        <x:f>INDEX('Sprint Plan'!$D$9:$D$20,MATCH(B149,'Sprint Plan'!$A$9:$A$20,0))</x:f>
        <x:v>46246</x:v>
      </x:c>
      <x:c r="J149" s="42" t="n">
        <x:f>INDEX('Sprint Plan'!$E$9:$E$20,MATCH(B149,'Sprint Plan'!$A$9:$A$20,0))</x:f>
        <x:v>46259</x:v>
      </x:c>
      <x:c r="K149" s="28" t="str">
        <x:v>TBD</x:v>
      </x:c>
      <x:c r="L149" s="28" t="str">
        <x:v>Not Started</x:v>
      </x:c>
      <x:c r="M149" s="43" t="n">
        <x:v>0</x:v>
      </x:c>
      <x:c r="N149" s="28" t="n">
        <x:v>1</x:v>
      </x:c>
      <x:c r="O149" s="28" t="str"/>
      <x:c r="P149" s="28" t="str"/>
      <x:c r="Q149" s="28" t="str"/>
      <x:c r="R149" s="28" t="str"/>
      <x:c r="S149" s="28" t="str">
        <x:v>High</x:v>
      </x:c>
      <x:c r="T149" s="28" t="str">
        <x:f>IF(L149="Done","Green",IF(L149="Blocked","Red",IF(TODAY()&gt;J149,"Red",IF(M149&gt;=0.6,"Yellow","Green"))))</x:f>
        <x:v>Green</x:v>
      </x:c>
      <x:c r="U149" s="28" t="str"/>
    </x:row>
    <x:row r="150">
      <x:c r="A150" s="28" t="str">
        <x:v>SV-03-0148</x:v>
      </x:c>
      <x:c r="B150" s="28" t="str">
        <x:v>Sprint 3</x:v>
      </x:c>
      <x:c r="C150" s="28" t="str">
        <x:v>Month 2</x:v>
      </x:c>
      <x:c r="D150" s="28" t="str">
        <x:v>Technical Writer</x:v>
      </x:c>
      <x:c r="E150" s="28" t="str">
        <x:v>SOP Delete</x:v>
      </x:c>
      <x:c r="F150" s="28" t="str">
        <x:v>SOP delete VM</x:v>
      </x:c>
      <x:c r="G150" s="28" t="str">
        <x:v>SOP v1</x:v>
      </x:c>
      <x:c r="H150" s="28" t="str">
        <x:v>Critical</x:v>
      </x:c>
      <x:c r="I150" s="42" t="n">
        <x:f>INDEX('Sprint Plan'!$D$9:$D$20,MATCH(B150,'Sprint Plan'!$A$9:$A$20,0))</x:f>
        <x:v>46246</x:v>
      </x:c>
      <x:c r="J150" s="42" t="n">
        <x:f>INDEX('Sprint Plan'!$E$9:$E$20,MATCH(B150,'Sprint Plan'!$A$9:$A$20,0))</x:f>
        <x:v>46259</x:v>
      </x:c>
      <x:c r="K150" s="28" t="str">
        <x:v>TBD</x:v>
      </x:c>
      <x:c r="L150" s="28" t="str">
        <x:v>Not Started</x:v>
      </x:c>
      <x:c r="M150" s="43" t="n">
        <x:v>0</x:v>
      </x:c>
      <x:c r="N150" s="28" t="n">
        <x:v>1</x:v>
      </x:c>
      <x:c r="O150" s="28" t="str"/>
      <x:c r="P150" s="28" t="str"/>
      <x:c r="Q150" s="28" t="str"/>
      <x:c r="R150" s="28" t="str"/>
      <x:c r="S150" s="28" t="str">
        <x:v>High</x:v>
      </x:c>
      <x:c r="T150" s="28" t="str">
        <x:f>IF(L150="Done","Green",IF(L150="Blocked","Red",IF(TODAY()&gt;J150,"Red",IF(M150&gt;=0.6,"Yellow","Green"))))</x:f>
        <x:v>Green</x:v>
      </x:c>
      <x:c r="U150" s="28" t="str"/>
    </x:row>
    <x:row r="151">
      <x:c r="A151" s="28" t="str">
        <x:v>SV-03-0149</x:v>
      </x:c>
      <x:c r="B151" s="28" t="str">
        <x:v>Sprint 3</x:v>
      </x:c>
      <x:c r="C151" s="28" t="str">
        <x:v>Month 2</x:v>
      </x:c>
      <x:c r="D151" s="28" t="str">
        <x:v>Technical Writer</x:v>
      </x:c>
      <x:c r="E151" s="28" t="str">
        <x:v>Guide</x:v>
      </x:c>
      <x:c r="F151" s="28" t="str">
        <x:v>Admin guide VM lifecycle</x:v>
      </x:c>
      <x:c r="G151" s="28" t="str">
        <x:v>Admin guide section</x:v>
      </x:c>
      <x:c r="H151" s="28" t="str">
        <x:v>Critical</x:v>
      </x:c>
      <x:c r="I151" s="42" t="n">
        <x:f>INDEX('Sprint Plan'!$D$9:$D$20,MATCH(B151,'Sprint Plan'!$A$9:$A$20,0))</x:f>
        <x:v>46246</x:v>
      </x:c>
      <x:c r="J151" s="42" t="n">
        <x:f>INDEX('Sprint Plan'!$E$9:$E$20,MATCH(B151,'Sprint Plan'!$A$9:$A$20,0))</x:f>
        <x:v>46259</x:v>
      </x:c>
      <x:c r="K151" s="28" t="str">
        <x:v>TBD</x:v>
      </x:c>
      <x:c r="L151" s="28" t="str">
        <x:v>Not Started</x:v>
      </x:c>
      <x:c r="M151" s="43" t="n">
        <x:v>0</x:v>
      </x:c>
      <x:c r="N151" s="28" t="n">
        <x:v>1</x:v>
      </x:c>
      <x:c r="O151" s="28" t="str"/>
      <x:c r="P151" s="28" t="str"/>
      <x:c r="Q151" s="28" t="str"/>
      <x:c r="R151" s="28" t="str"/>
      <x:c r="S151" s="28" t="str">
        <x:v>High</x:v>
      </x:c>
      <x:c r="T151" s="28" t="str">
        <x:f>IF(L151="Done","Green",IF(L151="Blocked","Red",IF(TODAY()&gt;J151,"Red",IF(M151&gt;=0.6,"Yellow","Green"))))</x:f>
        <x:v>Green</x:v>
      </x:c>
      <x:c r="U151" s="28" t="str"/>
    </x:row>
    <x:row r="152">
      <x:c r="A152" s="28" t="str">
        <x:v>SV-03-0150</x:v>
      </x:c>
      <x:c r="B152" s="28" t="str">
        <x:v>Sprint 3</x:v>
      </x:c>
      <x:c r="C152" s="28" t="str">
        <x:v>Month 2</x:v>
      </x:c>
      <x:c r="D152" s="28" t="str">
        <x:v>Sales/Marketing/Presales</x:v>
      </x:c>
      <x:c r="E152" s="28" t="str">
        <x:v>Demo Script</x:v>
      </x:c>
      <x:c r="F152" s="28" t="str">
        <x:v>Buat demo script create VM</x:v>
      </x:c>
      <x:c r="G152" s="28" t="str">
        <x:v>Demo script</x:v>
      </x:c>
      <x:c r="H152" s="28" t="str">
        <x:v>Critical</x:v>
      </x:c>
      <x:c r="I152" s="42" t="n">
        <x:f>INDEX('Sprint Plan'!$D$9:$D$20,MATCH(B152,'Sprint Plan'!$A$9:$A$20,0))</x:f>
        <x:v>46246</x:v>
      </x:c>
      <x:c r="J152" s="42" t="n">
        <x:f>INDEX('Sprint Plan'!$E$9:$E$20,MATCH(B152,'Sprint Plan'!$A$9:$A$20,0))</x:f>
        <x:v>46259</x:v>
      </x:c>
      <x:c r="K152" s="28" t="str">
        <x:v>TBD</x:v>
      </x:c>
      <x:c r="L152" s="28" t="str">
        <x:v>Not Started</x:v>
      </x:c>
      <x:c r="M152" s="43" t="n">
        <x:v>0</x:v>
      </x:c>
      <x:c r="N152" s="28" t="n">
        <x:v>1</x:v>
      </x:c>
      <x:c r="O152" s="28" t="str"/>
      <x:c r="P152" s="28" t="str"/>
      <x:c r="Q152" s="28" t="str"/>
      <x:c r="R152" s="28" t="str"/>
      <x:c r="S152" s="28" t="str">
        <x:v>High</x:v>
      </x:c>
      <x:c r="T152" s="28" t="str">
        <x:f>IF(L152="Done","Green",IF(L152="Blocked","Red",IF(TODAY()&gt;J152,"Red",IF(M152&gt;=0.6,"Yellow","Green"))))</x:f>
        <x:v>Green</x:v>
      </x:c>
      <x:c r="U152" s="28" t="str"/>
    </x:row>
    <x:row r="153">
      <x:c r="A153" s="28" t="str">
        <x:v>SV-03-0151</x:v>
      </x:c>
      <x:c r="B153" s="28" t="str">
        <x:v>Sprint 3</x:v>
      </x:c>
      <x:c r="C153" s="28" t="str">
        <x:v>Month 2</x:v>
      </x:c>
      <x:c r="D153" s="28" t="str">
        <x:v>Sales/Marketing/Presales</x:v>
      </x:c>
      <x:c r="E153" s="28" t="str">
        <x:v>Talking Point</x:v>
      </x:c>
      <x:c r="F153" s="28" t="str">
        <x:v>Buat demo talking point</x:v>
      </x:c>
      <x:c r="G153" s="28" t="str">
        <x:v>Talking point</x:v>
      </x:c>
      <x:c r="H153" s="28" t="str">
        <x:v>Critical</x:v>
      </x:c>
      <x:c r="I153" s="42" t="n">
        <x:f>INDEX('Sprint Plan'!$D$9:$D$20,MATCH(B153,'Sprint Plan'!$A$9:$A$20,0))</x:f>
        <x:v>46246</x:v>
      </x:c>
      <x:c r="J153" s="42" t="n">
        <x:f>INDEX('Sprint Plan'!$E$9:$E$20,MATCH(B153,'Sprint Plan'!$A$9:$A$20,0))</x:f>
        <x:v>46259</x:v>
      </x:c>
      <x:c r="K153" s="28" t="str">
        <x:v>TBD</x:v>
      </x:c>
      <x:c r="L153" s="28" t="str">
        <x:v>Not Started</x:v>
      </x:c>
      <x:c r="M153" s="43" t="n">
        <x:v>0</x:v>
      </x:c>
      <x:c r="N153" s="28" t="n">
        <x:v>1</x:v>
      </x:c>
      <x:c r="O153" s="28" t="str"/>
      <x:c r="P153" s="28" t="str"/>
      <x:c r="Q153" s="28" t="str"/>
      <x:c r="R153" s="28" t="str"/>
      <x:c r="S153" s="28" t="str">
        <x:v>High</x:v>
      </x:c>
      <x:c r="T153" s="28" t="str">
        <x:f>IF(L153="Done","Green",IF(L153="Blocked","Red",IF(TODAY()&gt;J153,"Red",IF(M153&gt;=0.6,"Yellow","Green"))))</x:f>
        <x:v>Green</x:v>
      </x:c>
      <x:c r="U153" s="28" t="str"/>
    </x:row>
    <x:row r="154">
      <x:c r="A154" s="28" t="str">
        <x:v>SV-03-0152</x:v>
      </x:c>
      <x:c r="B154" s="28" t="str">
        <x:v>Sprint 3</x:v>
      </x:c>
      <x:c r="C154" s="28" t="str">
        <x:v>Month 2</x:v>
      </x:c>
      <x:c r="D154" s="28" t="str">
        <x:v>Sales/Marketing/Presales</x:v>
      </x:c>
      <x:c r="E154" s="28" t="str">
        <x:v>FAQ</x:v>
      </x:c>
      <x:c r="F154" s="28" t="str">
        <x:v>Buat FAQ teknis create VM</x:v>
      </x:c>
      <x:c r="G154" s="28" t="str">
        <x:v>FAQ</x:v>
      </x:c>
      <x:c r="H154" s="28" t="str">
        <x:v>Critical</x:v>
      </x:c>
      <x:c r="I154" s="42" t="n">
        <x:f>INDEX('Sprint Plan'!$D$9:$D$20,MATCH(B154,'Sprint Plan'!$A$9:$A$20,0))</x:f>
        <x:v>46246</x:v>
      </x:c>
      <x:c r="J154" s="42" t="n">
        <x:f>INDEX('Sprint Plan'!$E$9:$E$20,MATCH(B154,'Sprint Plan'!$A$9:$A$20,0))</x:f>
        <x:v>46259</x:v>
      </x:c>
      <x:c r="K154" s="28" t="str">
        <x:v>TBD</x:v>
      </x:c>
      <x:c r="L154" s="28" t="str">
        <x:v>Not Started</x:v>
      </x:c>
      <x:c r="M154" s="43" t="n">
        <x:v>0</x:v>
      </x:c>
      <x:c r="N154" s="28" t="n">
        <x:v>1</x:v>
      </x:c>
      <x:c r="O154" s="28" t="str"/>
      <x:c r="P154" s="28" t="str"/>
      <x:c r="Q154" s="28" t="str"/>
      <x:c r="R154" s="28" t="str"/>
      <x:c r="S154" s="28" t="str">
        <x:v>High</x:v>
      </x:c>
      <x:c r="T154" s="28" t="str">
        <x:f>IF(L154="Done","Green",IF(L154="Blocked","Red",IF(TODAY()&gt;J154,"Red",IF(M154&gt;=0.6,"Yellow","Green"))))</x:f>
        <x:v>Green</x:v>
      </x:c>
      <x:c r="U154" s="28" t="str"/>
    </x:row>
    <x:row r="155">
      <x:c r="A155" s="28" t="str">
        <x:v>SV-03-0153</x:v>
      </x:c>
      <x:c r="B155" s="28" t="str">
        <x:v>Sprint 3</x:v>
      </x:c>
      <x:c r="C155" s="28" t="str">
        <x:v>Month 2</x:v>
      </x:c>
      <x:c r="D155" s="28" t="str">
        <x:v>Sales/Marketing/Presales</x:v>
      </x:c>
      <x:c r="E155" s="28" t="str">
        <x:v>Objection</x:v>
      </x:c>
      <x:c r="F155" s="28" t="str">
        <x:v>Buat objection handling kenapa bukan Proxmox</x:v>
      </x:c>
      <x:c r="G155" s="28" t="str">
        <x:v>Objection sheet</x:v>
      </x:c>
      <x:c r="H155" s="28" t="str">
        <x:v>Critical</x:v>
      </x:c>
      <x:c r="I155" s="42" t="n">
        <x:f>INDEX('Sprint Plan'!$D$9:$D$20,MATCH(B155,'Sprint Plan'!$A$9:$A$20,0))</x:f>
        <x:v>46246</x:v>
      </x:c>
      <x:c r="J155" s="42" t="n">
        <x:f>INDEX('Sprint Plan'!$E$9:$E$20,MATCH(B155,'Sprint Plan'!$A$9:$A$20,0))</x:f>
        <x:v>46259</x:v>
      </x:c>
      <x:c r="K155" s="28" t="str">
        <x:v>TBD</x:v>
      </x:c>
      <x:c r="L155" s="28" t="str">
        <x:v>Not Started</x:v>
      </x:c>
      <x:c r="M155" s="43" t="n">
        <x:v>0</x:v>
      </x:c>
      <x:c r="N155" s="28" t="n">
        <x:v>1</x:v>
      </x:c>
      <x:c r="O155" s="28" t="str"/>
      <x:c r="P155" s="28" t="str"/>
      <x:c r="Q155" s="28" t="str"/>
      <x:c r="R155" s="28" t="str"/>
      <x:c r="S155" s="28" t="str">
        <x:v>High</x:v>
      </x:c>
      <x:c r="T155" s="28" t="str">
        <x:f>IF(L155="Done","Green",IF(L155="Blocked","Red",IF(TODAY()&gt;J155,"Red",IF(M155&gt;=0.6,"Yellow","Green"))))</x:f>
        <x:v>Green</x:v>
      </x:c>
      <x:c r="U155" s="28" t="str"/>
    </x:row>
    <x:row r="156">
      <x:c r="A156" s="28" t="str">
        <x:v>SV-03-0154</x:v>
      </x:c>
      <x:c r="B156" s="28" t="str">
        <x:v>Sprint 3</x:v>
      </x:c>
      <x:c r="C156" s="28" t="str">
        <x:v>Month 2</x:v>
      </x:c>
      <x:c r="D156" s="28" t="str">
        <x:v>Sales/Marketing/Presales</x:v>
      </x:c>
      <x:c r="E156" s="28" t="str">
        <x:v>Battle Card</x:v>
      </x:c>
      <x:c r="F156" s="28" t="str">
        <x:v>Update battle card</x:v>
      </x:c>
      <x:c r="G156" s="28" t="str">
        <x:v>Battle card v2</x:v>
      </x:c>
      <x:c r="H156" s="28" t="str">
        <x:v>Critical</x:v>
      </x:c>
      <x:c r="I156" s="42" t="n">
        <x:f>INDEX('Sprint Plan'!$D$9:$D$20,MATCH(B156,'Sprint Plan'!$A$9:$A$20,0))</x:f>
        <x:v>46246</x:v>
      </x:c>
      <x:c r="J156" s="42" t="n">
        <x:f>INDEX('Sprint Plan'!$E$9:$E$20,MATCH(B156,'Sprint Plan'!$A$9:$A$20,0))</x:f>
        <x:v>46259</x:v>
      </x:c>
      <x:c r="K156" s="28" t="str">
        <x:v>TBD</x:v>
      </x:c>
      <x:c r="L156" s="28" t="str">
        <x:v>Not Started</x:v>
      </x:c>
      <x:c r="M156" s="43" t="n">
        <x:v>0</x:v>
      </x:c>
      <x:c r="N156" s="28" t="n">
        <x:v>1</x:v>
      </x:c>
      <x:c r="O156" s="28" t="str"/>
      <x:c r="P156" s="28" t="str"/>
      <x:c r="Q156" s="28" t="str"/>
      <x:c r="R156" s="28" t="str"/>
      <x:c r="S156" s="28" t="str">
        <x:v>High</x:v>
      </x:c>
      <x:c r="T156" s="28" t="str">
        <x:f>IF(L156="Done","Green",IF(L156="Blocked","Red",IF(TODAY()&gt;J156,"Red",IF(M156&gt;=0.6,"Yellow","Green"))))</x:f>
        <x:v>Green</x:v>
      </x:c>
      <x:c r="U156" s="28" t="str"/>
    </x:row>
    <x:row r="157">
      <x:c r="A157" s="28" t="str">
        <x:v>SV-04-0155</x:v>
      </x:c>
      <x:c r="B157" s="28" t="str">
        <x:v>Sprint 4</x:v>
      </x:c>
      <x:c r="C157" s="28" t="str">
        <x:v>Month 3</x:v>
      </x:c>
      <x:c r="D157" s="28" t="str">
        <x:v>Product Owner</x:v>
      </x:c>
      <x:c r="E157" s="28" t="str">
        <x:v>UX Review</x:v>
      </x:c>
      <x:c r="F157" s="28" t="str">
        <x:v>Review UX VM lifecycle</x:v>
      </x:c>
      <x:c r="G157" s="28" t="str">
        <x:v>UX feedback</x:v>
      </x:c>
      <x:c r="H157" s="28" t="str">
        <x:v>Critical</x:v>
      </x:c>
      <x:c r="I157" s="42" t="n">
        <x:f>INDEX('Sprint Plan'!$D$9:$D$20,MATCH(B157,'Sprint Plan'!$A$9:$A$20,0))</x:f>
        <x:v>46260</x:v>
      </x:c>
      <x:c r="J157" s="42" t="n">
        <x:f>INDEX('Sprint Plan'!$E$9:$E$20,MATCH(B157,'Sprint Plan'!$A$9:$A$20,0))</x:f>
        <x:v>46273</x:v>
      </x:c>
      <x:c r="K157" s="28" t="str">
        <x:v>TBD</x:v>
      </x:c>
      <x:c r="L157" s="28" t="str">
        <x:v>Not Started</x:v>
      </x:c>
      <x:c r="M157" s="43" t="n">
        <x:v>0</x:v>
      </x:c>
      <x:c r="N157" s="28" t="n">
        <x:v>1</x:v>
      </x:c>
      <x:c r="O157" s="28" t="str"/>
      <x:c r="P157" s="28" t="str"/>
      <x:c r="Q157" s="28" t="str"/>
      <x:c r="R157" s="28" t="str"/>
      <x:c r="S157" s="28" t="str">
        <x:v>High</x:v>
      </x:c>
      <x:c r="T157" s="28" t="str">
        <x:f>IF(L157="Done","Green",IF(L157="Blocked","Red",IF(TODAY()&gt;J157,"Red",IF(M157&gt;=0.6,"Yellow","Green"))))</x:f>
        <x:v>Green</x:v>
      </x:c>
      <x:c r="U157" s="28" t="str"/>
    </x:row>
    <x:row r="158">
      <x:c r="A158" s="28" t="str">
        <x:v>SV-04-0156</x:v>
      </x:c>
      <x:c r="B158" s="28" t="str">
        <x:v>Sprint 4</x:v>
      </x:c>
      <x:c r="C158" s="28" t="str">
        <x:v>Month 3</x:v>
      </x:c>
      <x:c r="D158" s="28" t="str">
        <x:v>Product Owner</x:v>
      </x:c>
      <x:c r="E158" s="28" t="str">
        <x:v>Menu</x:v>
      </x:c>
      <x:c r="F158" s="28" t="str">
        <x:v>Finalisasi menu MVP</x:v>
      </x:c>
      <x:c r="G158" s="28" t="str">
        <x:v>Menu baseline</x:v>
      </x:c>
      <x:c r="H158" s="28" t="str">
        <x:v>Critical</x:v>
      </x:c>
      <x:c r="I158" s="42" t="n">
        <x:f>INDEX('Sprint Plan'!$D$9:$D$20,MATCH(B158,'Sprint Plan'!$A$9:$A$20,0))</x:f>
        <x:v>46260</x:v>
      </x:c>
      <x:c r="J158" s="42" t="n">
        <x:f>INDEX('Sprint Plan'!$E$9:$E$20,MATCH(B158,'Sprint Plan'!$A$9:$A$20,0))</x:f>
        <x:v>46273</x:v>
      </x:c>
      <x:c r="K158" s="28" t="str">
        <x:v>TBD</x:v>
      </x:c>
      <x:c r="L158" s="28" t="str">
        <x:v>Not Started</x:v>
      </x:c>
      <x:c r="M158" s="43" t="n">
        <x:v>0</x:v>
      </x:c>
      <x:c r="N158" s="28" t="n">
        <x:v>1</x:v>
      </x:c>
      <x:c r="O158" s="28" t="str"/>
      <x:c r="P158" s="28" t="str"/>
      <x:c r="Q158" s="28" t="str"/>
      <x:c r="R158" s="28" t="str"/>
      <x:c r="S158" s="28" t="str">
        <x:v>High</x:v>
      </x:c>
      <x:c r="T158" s="28" t="str">
        <x:f>IF(L158="Done","Green",IF(L158="Blocked","Red",IF(TODAY()&gt;J158,"Red",IF(M158&gt;=0.6,"Yellow","Green"))))</x:f>
        <x:v>Green</x:v>
      </x:c>
      <x:c r="U158" s="28" t="str"/>
    </x:row>
    <x:row r="159">
      <x:c r="A159" s="28" t="str">
        <x:v>SV-04-0157</x:v>
      </x:c>
      <x:c r="B159" s="28" t="str">
        <x:v>Sprint 4</x:v>
      </x:c>
      <x:c r="C159" s="28" t="str">
        <x:v>Month 3</x:v>
      </x:c>
      <x:c r="D159" s="28" t="str">
        <x:v>Product Owner</x:v>
      </x:c>
      <x:c r="E159" s="28" t="str">
        <x:v>KPI</x:v>
      </x:c>
      <x:c r="F159" s="28" t="str">
        <x:v>Definisikan dashboard KPI</x:v>
      </x:c>
      <x:c r="G159" s="28" t="str">
        <x:v>KPI list</x:v>
      </x:c>
      <x:c r="H159" s="28" t="str">
        <x:v>Critical</x:v>
      </x:c>
      <x:c r="I159" s="42" t="n">
        <x:f>INDEX('Sprint Plan'!$D$9:$D$20,MATCH(B159,'Sprint Plan'!$A$9:$A$20,0))</x:f>
        <x:v>46260</x:v>
      </x:c>
      <x:c r="J159" s="42" t="n">
        <x:f>INDEX('Sprint Plan'!$E$9:$E$20,MATCH(B159,'Sprint Plan'!$A$9:$A$20,0))</x:f>
        <x:v>46273</x:v>
      </x:c>
      <x:c r="K159" s="28" t="str">
        <x:v>TBD</x:v>
      </x:c>
      <x:c r="L159" s="28" t="str">
        <x:v>Not Started</x:v>
      </x:c>
      <x:c r="M159" s="43" t="n">
        <x:v>0</x:v>
      </x:c>
      <x:c r="N159" s="28" t="n">
        <x:v>1</x:v>
      </x:c>
      <x:c r="O159" s="28" t="str"/>
      <x:c r="P159" s="28" t="str"/>
      <x:c r="Q159" s="28" t="str"/>
      <x:c r="R159" s="28" t="str"/>
      <x:c r="S159" s="28" t="str">
        <x:v>High</x:v>
      </x:c>
      <x:c r="T159" s="28" t="str">
        <x:f>IF(L159="Done","Green",IF(L159="Blocked","Red",IF(TODAY()&gt;J159,"Red",IF(M159&gt;=0.6,"Yellow","Green"))))</x:f>
        <x:v>Green</x:v>
      </x:c>
      <x:c r="U159" s="28" t="str"/>
    </x:row>
    <x:row r="160">
      <x:c r="A160" s="28" t="str">
        <x:v>SV-04-0158</x:v>
      </x:c>
      <x:c r="B160" s="28" t="str">
        <x:v>Sprint 4</x:v>
      </x:c>
      <x:c r="C160" s="28" t="str">
        <x:v>Month 3</x:v>
      </x:c>
      <x:c r="D160" s="28" t="str">
        <x:v>Product Owner</x:v>
      </x:c>
      <x:c r="E160" s="28" t="str">
        <x:v>Demo</x:v>
      </x:c>
      <x:c r="F160" s="28" t="str">
        <x:v>Prioritaskan screen demo</x:v>
      </x:c>
      <x:c r="G160" s="28" t="str">
        <x:v>Demo screen list</x:v>
      </x:c>
      <x:c r="H160" s="28" t="str">
        <x:v>Critical</x:v>
      </x:c>
      <x:c r="I160" s="42" t="n">
        <x:f>INDEX('Sprint Plan'!$D$9:$D$20,MATCH(B160,'Sprint Plan'!$A$9:$A$20,0))</x:f>
        <x:v>46260</x:v>
      </x:c>
      <x:c r="J160" s="42" t="n">
        <x:f>INDEX('Sprint Plan'!$E$9:$E$20,MATCH(B160,'Sprint Plan'!$A$9:$A$20,0))</x:f>
        <x:v>46273</x:v>
      </x:c>
      <x:c r="K160" s="28" t="str">
        <x:v>TBD</x:v>
      </x:c>
      <x:c r="L160" s="28" t="str">
        <x:v>Not Started</x:v>
      </x:c>
      <x:c r="M160" s="43" t="n">
        <x:v>0</x:v>
      </x:c>
      <x:c r="N160" s="28" t="n">
        <x:v>1</x:v>
      </x:c>
      <x:c r="O160" s="28" t="str"/>
      <x:c r="P160" s="28" t="str"/>
      <x:c r="Q160" s="28" t="str"/>
      <x:c r="R160" s="28" t="str"/>
      <x:c r="S160" s="28" t="str">
        <x:v>High</x:v>
      </x:c>
      <x:c r="T160" s="28" t="str">
        <x:f>IF(L160="Done","Green",IF(L160="Blocked","Red",IF(TODAY()&gt;J160,"Red",IF(M160&gt;=0.6,"Yellow","Green"))))</x:f>
        <x:v>Green</x:v>
      </x:c>
      <x:c r="U160" s="28" t="str"/>
    </x:row>
    <x:row r="161">
      <x:c r="A161" s="28" t="str">
        <x:v>SV-04-0159</x:v>
      </x:c>
      <x:c r="B161" s="28" t="str">
        <x:v>Sprint 4</x:v>
      </x:c>
      <x:c r="C161" s="28" t="str">
        <x:v>Month 3</x:v>
      </x:c>
      <x:c r="D161" s="28" t="str">
        <x:v>Solution Architect</x:v>
      </x:c>
      <x:c r="E161" s="28" t="str">
        <x:v>Integration</x:v>
      </x:c>
      <x:c r="F161" s="28" t="str">
        <x:v>Review frontend-backend integration</x:v>
      </x:c>
      <x:c r="G161" s="28" t="str">
        <x:v>Integration review</x:v>
      </x:c>
      <x:c r="H161" s="28" t="str">
        <x:v>Critical</x:v>
      </x:c>
      <x:c r="I161" s="42" t="n">
        <x:f>INDEX('Sprint Plan'!$D$9:$D$20,MATCH(B161,'Sprint Plan'!$A$9:$A$20,0))</x:f>
        <x:v>46260</x:v>
      </x:c>
      <x:c r="J161" s="42" t="n">
        <x:f>INDEX('Sprint Plan'!$E$9:$E$20,MATCH(B161,'Sprint Plan'!$A$9:$A$20,0))</x:f>
        <x:v>46273</x:v>
      </x:c>
      <x:c r="K161" s="28" t="str">
        <x:v>TBD</x:v>
      </x:c>
      <x:c r="L161" s="28" t="str">
        <x:v>Not Started</x:v>
      </x:c>
      <x:c r="M161" s="43" t="n">
        <x:v>0</x:v>
      </x:c>
      <x:c r="N161" s="28" t="n">
        <x:v>1</x:v>
      </x:c>
      <x:c r="O161" s="28" t="str"/>
      <x:c r="P161" s="28" t="str"/>
      <x:c r="Q161" s="28" t="str"/>
      <x:c r="R161" s="28" t="str"/>
      <x:c r="S161" s="28" t="str">
        <x:v>High</x:v>
      </x:c>
      <x:c r="T161" s="28" t="str">
        <x:f>IF(L161="Done","Green",IF(L161="Blocked","Red",IF(TODAY()&gt;J161,"Red",IF(M161&gt;=0.6,"Yellow","Green"))))</x:f>
        <x:v>Green</x:v>
      </x:c>
      <x:c r="U161" s="28" t="str"/>
    </x:row>
    <x:row r="162">
      <x:c r="A162" s="28" t="str">
        <x:v>SV-04-0160</x:v>
      </x:c>
      <x:c r="B162" s="28" t="str">
        <x:v>Sprint 4</x:v>
      </x:c>
      <x:c r="C162" s="28" t="str">
        <x:v>Month 3</x:v>
      </x:c>
      <x:c r="D162" s="28" t="str">
        <x:v>Solution Architect</x:v>
      </x:c>
      <x:c r="E162" s="28" t="str">
        <x:v>Performance</x:v>
      </x:c>
      <x:c r="F162" s="28" t="str">
        <x:v>Review API performance basic</x:v>
      </x:c>
      <x:c r="G162" s="28" t="str">
        <x:v>Performance note</x:v>
      </x:c>
      <x:c r="H162" s="28" t="str">
        <x:v>Critical</x:v>
      </x:c>
      <x:c r="I162" s="42" t="n">
        <x:f>INDEX('Sprint Plan'!$D$9:$D$20,MATCH(B162,'Sprint Plan'!$A$9:$A$20,0))</x:f>
        <x:v>46260</x:v>
      </x:c>
      <x:c r="J162" s="42" t="n">
        <x:f>INDEX('Sprint Plan'!$E$9:$E$20,MATCH(B162,'Sprint Plan'!$A$9:$A$20,0))</x:f>
        <x:v>46273</x:v>
      </x:c>
      <x:c r="K162" s="28" t="str">
        <x:v>TBD</x:v>
      </x:c>
      <x:c r="L162" s="28" t="str">
        <x:v>Not Started</x:v>
      </x:c>
      <x:c r="M162" s="43" t="n">
        <x:v>0</x:v>
      </x:c>
      <x:c r="N162" s="28" t="n">
        <x:v>1</x:v>
      </x:c>
      <x:c r="O162" s="28" t="str"/>
      <x:c r="P162" s="28" t="str"/>
      <x:c r="Q162" s="28" t="str"/>
      <x:c r="R162" s="28" t="str"/>
      <x:c r="S162" s="28" t="str">
        <x:v>High</x:v>
      </x:c>
      <x:c r="T162" s="28" t="str">
        <x:f>IF(L162="Done","Green",IF(L162="Blocked","Red",IF(TODAY()&gt;J162,"Red",IF(M162&gt;=0.6,"Yellow","Green"))))</x:f>
        <x:v>Green</x:v>
      </x:c>
      <x:c r="U162" s="28" t="str"/>
    </x:row>
    <x:row r="163">
      <x:c r="A163" s="28" t="str">
        <x:v>SV-04-0161</x:v>
      </x:c>
      <x:c r="B163" s="28" t="str">
        <x:v>Sprint 4</x:v>
      </x:c>
      <x:c r="C163" s="28" t="str">
        <x:v>Month 3</x:v>
      </x:c>
      <x:c r="D163" s="28" t="str">
        <x:v>Solution Architect</x:v>
      </x:c>
      <x:c r="E163" s="28" t="str">
        <x:v>Session</x:v>
      </x:c>
      <x:c r="F163" s="28" t="str">
        <x:v>Review auth and session</x:v>
      </x:c>
      <x:c r="G163" s="28" t="str">
        <x:v>Security review</x:v>
      </x:c>
      <x:c r="H163" s="28" t="str">
        <x:v>Critical</x:v>
      </x:c>
      <x:c r="I163" s="42" t="n">
        <x:f>INDEX('Sprint Plan'!$D$9:$D$20,MATCH(B163,'Sprint Plan'!$A$9:$A$20,0))</x:f>
        <x:v>46260</x:v>
      </x:c>
      <x:c r="J163" s="42" t="n">
        <x:f>INDEX('Sprint Plan'!$E$9:$E$20,MATCH(B163,'Sprint Plan'!$A$9:$A$20,0))</x:f>
        <x:v>46273</x:v>
      </x:c>
      <x:c r="K163" s="28" t="str">
        <x:v>TBD</x:v>
      </x:c>
      <x:c r="L163" s="28" t="str">
        <x:v>Not Started</x:v>
      </x:c>
      <x:c r="M163" s="43" t="n">
        <x:v>0</x:v>
      </x:c>
      <x:c r="N163" s="28" t="n">
        <x:v>1</x:v>
      </x:c>
      <x:c r="O163" s="28" t="str"/>
      <x:c r="P163" s="28" t="str"/>
      <x:c r="Q163" s="28" t="str"/>
      <x:c r="R163" s="28" t="str"/>
      <x:c r="S163" s="28" t="str">
        <x:v>High</x:v>
      </x:c>
      <x:c r="T163" s="28" t="str">
        <x:f>IF(L163="Done","Green",IF(L163="Blocked","Red",IF(TODAY()&gt;J163,"Red",IF(M163&gt;=0.6,"Yellow","Green"))))</x:f>
        <x:v>Green</x:v>
      </x:c>
      <x:c r="U163" s="28" t="str"/>
    </x:row>
    <x:row r="164">
      <x:c r="A164" s="28" t="str">
        <x:v>SV-04-0162</x:v>
      </x:c>
      <x:c r="B164" s="28" t="str">
        <x:v>Sprint 4</x:v>
      </x:c>
      <x:c r="C164" s="28" t="str">
        <x:v>Month 3</x:v>
      </x:c>
      <x:c r="D164" s="28" t="str">
        <x:v>Solution Architect</x:v>
      </x:c>
      <x:c r="E164" s="28" t="str">
        <x:v>Permission</x:v>
      </x:c>
      <x:c r="F164" s="28" t="str">
        <x:v>Review UI permission rule</x:v>
      </x:c>
      <x:c r="G164" s="28" t="str">
        <x:v>Permission rule</x:v>
      </x:c>
      <x:c r="H164" s="28" t="str">
        <x:v>Critical</x:v>
      </x:c>
      <x:c r="I164" s="42" t="n">
        <x:f>INDEX('Sprint Plan'!$D$9:$D$20,MATCH(B164,'Sprint Plan'!$A$9:$A$20,0))</x:f>
        <x:v>46260</x:v>
      </x:c>
      <x:c r="J164" s="42" t="n">
        <x:f>INDEX('Sprint Plan'!$E$9:$E$20,MATCH(B164,'Sprint Plan'!$A$9:$A$20,0))</x:f>
        <x:v>46273</x:v>
      </x:c>
      <x:c r="K164" s="28" t="str">
        <x:v>TBD</x:v>
      </x:c>
      <x:c r="L164" s="28" t="str">
        <x:v>Not Started</x:v>
      </x:c>
      <x:c r="M164" s="43" t="n">
        <x:v>0</x:v>
      </x:c>
      <x:c r="N164" s="28" t="n">
        <x:v>1</x:v>
      </x:c>
      <x:c r="O164" s="28" t="str"/>
      <x:c r="P164" s="28" t="str"/>
      <x:c r="Q164" s="28" t="str"/>
      <x:c r="R164" s="28" t="str"/>
      <x:c r="S164" s="28" t="str">
        <x:v>High</x:v>
      </x:c>
      <x:c r="T164" s="28" t="str">
        <x:f>IF(L164="Done","Green",IF(L164="Blocked","Red",IF(TODAY()&gt;J164,"Red",IF(M164&gt;=0.6,"Yellow","Green"))))</x:f>
        <x:v>Green</x:v>
      </x:c>
      <x:c r="U164" s="28" t="str"/>
    </x:row>
    <x:row r="165">
      <x:c r="A165" s="28" t="str">
        <x:v>SV-04-0163</x:v>
      </x:c>
      <x:c r="B165" s="28" t="str">
        <x:v>Sprint 4</x:v>
      </x:c>
      <x:c r="C165" s="28" t="str">
        <x:v>Month 3</x:v>
      </x:c>
      <x:c r="D165" s="28" t="str">
        <x:v>Infra/OpenNebula Engineer</x:v>
      </x:c>
      <x:c r="E165" s="28" t="str">
        <x:v>Template</x:v>
      </x:c>
      <x:c r="F165" s="28" t="str">
        <x:v>Stabilkan lab VM template</x:v>
      </x:c>
      <x:c r="G165" s="28" t="str">
        <x:v>Stable template</x:v>
      </x:c>
      <x:c r="H165" s="28" t="str">
        <x:v>Critical</x:v>
      </x:c>
      <x:c r="I165" s="42" t="n">
        <x:f>INDEX('Sprint Plan'!$D$9:$D$20,MATCH(B165,'Sprint Plan'!$A$9:$A$20,0))</x:f>
        <x:v>46260</x:v>
      </x:c>
      <x:c r="J165" s="42" t="n">
        <x:f>INDEX('Sprint Plan'!$E$9:$E$20,MATCH(B165,'Sprint Plan'!$A$9:$A$20,0))</x:f>
        <x:v>46273</x:v>
      </x:c>
      <x:c r="K165" s="28" t="str">
        <x:v>TBD</x:v>
      </x:c>
      <x:c r="L165" s="28" t="str">
        <x:v>Not Started</x:v>
      </x:c>
      <x:c r="M165" s="43" t="n">
        <x:v>0</x:v>
      </x:c>
      <x:c r="N165" s="28" t="n">
        <x:v>1</x:v>
      </x:c>
      <x:c r="O165" s="28" t="str"/>
      <x:c r="P165" s="28" t="str"/>
      <x:c r="Q165" s="28" t="str"/>
      <x:c r="R165" s="28" t="str"/>
      <x:c r="S165" s="28" t="str">
        <x:v>High</x:v>
      </x:c>
      <x:c r="T165" s="28" t="str">
        <x:f>IF(L165="Done","Green",IF(L165="Blocked","Red",IF(TODAY()&gt;J165,"Red",IF(M165&gt;=0.6,"Yellow","Green"))))</x:f>
        <x:v>Green</x:v>
      </x:c>
      <x:c r="U165" s="28" t="str"/>
    </x:row>
    <x:row r="166">
      <x:c r="A166" s="28" t="str">
        <x:v>SV-04-0164</x:v>
      </x:c>
      <x:c r="B166" s="28" t="str">
        <x:v>Sprint 4</x:v>
      </x:c>
      <x:c r="C166" s="28" t="str">
        <x:v>Month 3</x:v>
      </x:c>
      <x:c r="D166" s="28" t="str">
        <x:v>Infra/OpenNebula Engineer</x:v>
      </x:c>
      <x:c r="E166" s="28" t="str">
        <x:v>Demo Image</x:v>
      </x:c>
      <x:c r="F166" s="28" t="str">
        <x:v>Siapkan demo VM image</x:v>
      </x:c>
      <x:c r="G166" s="28" t="str">
        <x:v>Demo image</x:v>
      </x:c>
      <x:c r="H166" s="28" t="str">
        <x:v>Critical</x:v>
      </x:c>
      <x:c r="I166" s="42" t="n">
        <x:f>INDEX('Sprint Plan'!$D$9:$D$20,MATCH(B166,'Sprint Plan'!$A$9:$A$20,0))</x:f>
        <x:v>46260</x:v>
      </x:c>
      <x:c r="J166" s="42" t="n">
        <x:f>INDEX('Sprint Plan'!$E$9:$E$20,MATCH(B166,'Sprint Plan'!$A$9:$A$20,0))</x:f>
        <x:v>46273</x:v>
      </x:c>
      <x:c r="K166" s="28" t="str">
        <x:v>TBD</x:v>
      </x:c>
      <x:c r="L166" s="28" t="str">
        <x:v>Not Started</x:v>
      </x:c>
      <x:c r="M166" s="43" t="n">
        <x:v>0</x:v>
      </x:c>
      <x:c r="N166" s="28" t="n">
        <x:v>1</x:v>
      </x:c>
      <x:c r="O166" s="28" t="str"/>
      <x:c r="P166" s="28" t="str"/>
      <x:c r="Q166" s="28" t="str"/>
      <x:c r="R166" s="28" t="str"/>
      <x:c r="S166" s="28" t="str">
        <x:v>High</x:v>
      </x:c>
      <x:c r="T166" s="28" t="str">
        <x:f>IF(L166="Done","Green",IF(L166="Blocked","Red",IF(TODAY()&gt;J166,"Red",IF(M166&gt;=0.6,"Yellow","Green"))))</x:f>
        <x:v>Green</x:v>
      </x:c>
      <x:c r="U166" s="28" t="str"/>
    </x:row>
    <x:row r="167">
      <x:c r="A167" s="28" t="str">
        <x:v>SV-04-0165</x:v>
      </x:c>
      <x:c r="B167" s="28" t="str">
        <x:v>Sprint 4</x:v>
      </x:c>
      <x:c r="C167" s="28" t="str">
        <x:v>Month 3</x:v>
      </x:c>
      <x:c r="D167" s="28" t="str">
        <x:v>Infra/OpenNebula Engineer</x:v>
      </x:c>
      <x:c r="E167" s="28" t="str">
        <x:v>Network</x:v>
      </x:c>
      <x:c r="F167" s="28" t="str">
        <x:v>Siapkan network demo</x:v>
      </x:c>
      <x:c r="G167" s="28" t="str">
        <x:v>Demo network</x:v>
      </x:c>
      <x:c r="H167" s="28" t="str">
        <x:v>Critical</x:v>
      </x:c>
      <x:c r="I167" s="42" t="n">
        <x:f>INDEX('Sprint Plan'!$D$9:$D$20,MATCH(B167,'Sprint Plan'!$A$9:$A$20,0))</x:f>
        <x:v>46260</x:v>
      </x:c>
      <x:c r="J167" s="42" t="n">
        <x:f>INDEX('Sprint Plan'!$E$9:$E$20,MATCH(B167,'Sprint Plan'!$A$9:$A$20,0))</x:f>
        <x:v>46273</x:v>
      </x:c>
      <x:c r="K167" s="28" t="str">
        <x:v>TBD</x:v>
      </x:c>
      <x:c r="L167" s="28" t="str">
        <x:v>Not Started</x:v>
      </x:c>
      <x:c r="M167" s="43" t="n">
        <x:v>0</x:v>
      </x:c>
      <x:c r="N167" s="28" t="n">
        <x:v>1</x:v>
      </x:c>
      <x:c r="O167" s="28" t="str"/>
      <x:c r="P167" s="28" t="str"/>
      <x:c r="Q167" s="28" t="str"/>
      <x:c r="R167" s="28" t="str"/>
      <x:c r="S167" s="28" t="str">
        <x:v>High</x:v>
      </x:c>
      <x:c r="T167" s="28" t="str">
        <x:f>IF(L167="Done","Green",IF(L167="Blocked","Red",IF(TODAY()&gt;J167,"Red",IF(M167&gt;=0.6,"Yellow","Green"))))</x:f>
        <x:v>Green</x:v>
      </x:c>
      <x:c r="U167" s="28" t="str"/>
    </x:row>
    <x:row r="168">
      <x:c r="A168" s="28" t="str">
        <x:v>SV-04-0166</x:v>
      </x:c>
      <x:c r="B168" s="28" t="str">
        <x:v>Sprint 4</x:v>
      </x:c>
      <x:c r="C168" s="28" t="str">
        <x:v>Month 3</x:v>
      </x:c>
      <x:c r="D168" s="28" t="str">
        <x:v>Infra/OpenNebula Engineer</x:v>
      </x:c>
      <x:c r="E168" s="28" t="str">
        <x:v>Workload</x:v>
      </x:c>
      <x:c r="F168" s="28" t="str">
        <x:v>Siapkan sample workload</x:v>
      </x:c>
      <x:c r="G168" s="28" t="str">
        <x:v>Demo workload</x:v>
      </x:c>
      <x:c r="H168" s="28" t="str">
        <x:v>Critical</x:v>
      </x:c>
      <x:c r="I168" s="42" t="n">
        <x:f>INDEX('Sprint Plan'!$D$9:$D$20,MATCH(B168,'Sprint Plan'!$A$9:$A$20,0))</x:f>
        <x:v>46260</x:v>
      </x:c>
      <x:c r="J168" s="42" t="n">
        <x:f>INDEX('Sprint Plan'!$E$9:$E$20,MATCH(B168,'Sprint Plan'!$A$9:$A$20,0))</x:f>
        <x:v>46273</x:v>
      </x:c>
      <x:c r="K168" s="28" t="str">
        <x:v>TBD</x:v>
      </x:c>
      <x:c r="L168" s="28" t="str">
        <x:v>Not Started</x:v>
      </x:c>
      <x:c r="M168" s="43" t="n">
        <x:v>0</x:v>
      </x:c>
      <x:c r="N168" s="28" t="n">
        <x:v>1</x:v>
      </x:c>
      <x:c r="O168" s="28" t="str"/>
      <x:c r="P168" s="28" t="str"/>
      <x:c r="Q168" s="28" t="str"/>
      <x:c r="R168" s="28" t="str"/>
      <x:c r="S168" s="28" t="str">
        <x:v>High</x:v>
      </x:c>
      <x:c r="T168" s="28" t="str">
        <x:f>IF(L168="Done","Green",IF(L168="Blocked","Red",IF(TODAY()&gt;J168,"Red",IF(M168&gt;=0.6,"Yellow","Green"))))</x:f>
        <x:v>Green</x:v>
      </x:c>
      <x:c r="U168" s="28" t="str"/>
    </x:row>
    <x:row r="169">
      <x:c r="A169" s="28" t="str">
        <x:v>SV-04-0167</x:v>
      </x:c>
      <x:c r="B169" s="28" t="str">
        <x:v>Sprint 4</x:v>
      </x:c>
      <x:c r="C169" s="28" t="str">
        <x:v>Month 3</x:v>
      </x:c>
      <x:c r="D169" s="28" t="str">
        <x:v>Backend Engineer</x:v>
      </x:c>
      <x:c r="E169" s="28" t="str">
        <x:v>Dashboard API</x:v>
      </x:c>
      <x:c r="F169" s="28" t="str">
        <x:v>Implement dashboard summary API</x:v>
      </x:c>
      <x:c r="G169" s="28" t="str">
        <x:v>Dashboard API</x:v>
      </x:c>
      <x:c r="H169" s="28" t="str">
        <x:v>Critical</x:v>
      </x:c>
      <x:c r="I169" s="42" t="n">
        <x:f>INDEX('Sprint Plan'!$D$9:$D$20,MATCH(B169,'Sprint Plan'!$A$9:$A$20,0))</x:f>
        <x:v>46260</x:v>
      </x:c>
      <x:c r="J169" s="42" t="n">
        <x:f>INDEX('Sprint Plan'!$E$9:$E$20,MATCH(B169,'Sprint Plan'!$A$9:$A$20,0))</x:f>
        <x:v>46273</x:v>
      </x:c>
      <x:c r="K169" s="28" t="str">
        <x:v>TBD</x:v>
      </x:c>
      <x:c r="L169" s="28" t="str">
        <x:v>Not Started</x:v>
      </x:c>
      <x:c r="M169" s="43" t="n">
        <x:v>0</x:v>
      </x:c>
      <x:c r="N169" s="28" t="n">
        <x:v>1</x:v>
      </x:c>
      <x:c r="O169" s="28" t="str"/>
      <x:c r="P169" s="28" t="str"/>
      <x:c r="Q169" s="28" t="str"/>
      <x:c r="R169" s="28" t="str"/>
      <x:c r="S169" s="28" t="str">
        <x:v>High</x:v>
      </x:c>
      <x:c r="T169" s="28" t="str">
        <x:f>IF(L169="Done","Green",IF(L169="Blocked","Red",IF(TODAY()&gt;J169,"Red",IF(M169&gt;=0.6,"Yellow","Green"))))</x:f>
        <x:v>Green</x:v>
      </x:c>
      <x:c r="U169" s="28" t="str"/>
    </x:row>
    <x:row r="170">
      <x:c r="A170" s="28" t="str">
        <x:v>SV-04-0168</x:v>
      </x:c>
      <x:c r="B170" s="28" t="str">
        <x:v>Sprint 4</x:v>
      </x:c>
      <x:c r="C170" s="28" t="str">
        <x:v>Month 3</x:v>
      </x:c>
      <x:c r="D170" s="28" t="str">
        <x:v>Backend Engineer</x:v>
      </x:c>
      <x:c r="E170" s="28" t="str">
        <x:v>Resource</x:v>
      </x:c>
      <x:c r="F170" s="28" t="str">
        <x:v>Implement CPU/RAM/storage summary</x:v>
      </x:c>
      <x:c r="G170" s="28" t="str">
        <x:v>Resource summary</x:v>
      </x:c>
      <x:c r="H170" s="28" t="str">
        <x:v>Critical</x:v>
      </x:c>
      <x:c r="I170" s="42" t="n">
        <x:f>INDEX('Sprint Plan'!$D$9:$D$20,MATCH(B170,'Sprint Plan'!$A$9:$A$20,0))</x:f>
        <x:v>46260</x:v>
      </x:c>
      <x:c r="J170" s="42" t="n">
        <x:f>INDEX('Sprint Plan'!$E$9:$E$20,MATCH(B170,'Sprint Plan'!$A$9:$A$20,0))</x:f>
        <x:v>46273</x:v>
      </x:c>
      <x:c r="K170" s="28" t="str">
        <x:v>TBD</x:v>
      </x:c>
      <x:c r="L170" s="28" t="str">
        <x:v>Not Started</x:v>
      </x:c>
      <x:c r="M170" s="43" t="n">
        <x:v>0</x:v>
      </x:c>
      <x:c r="N170" s="28" t="n">
        <x:v>1</x:v>
      </x:c>
      <x:c r="O170" s="28" t="str"/>
      <x:c r="P170" s="28" t="str"/>
      <x:c r="Q170" s="28" t="str"/>
      <x:c r="R170" s="28" t="str"/>
      <x:c r="S170" s="28" t="str">
        <x:v>High</x:v>
      </x:c>
      <x:c r="T170" s="28" t="str">
        <x:f>IF(L170="Done","Green",IF(L170="Blocked","Red",IF(TODAY()&gt;J170,"Red",IF(M170&gt;=0.6,"Yellow","Green"))))</x:f>
        <x:v>Green</x:v>
      </x:c>
      <x:c r="U170" s="28" t="str"/>
    </x:row>
    <x:row r="171">
      <x:c r="A171" s="28" t="str">
        <x:v>SV-04-0169</x:v>
      </x:c>
      <x:c r="B171" s="28" t="str">
        <x:v>Sprint 4</x:v>
      </x:c>
      <x:c r="C171" s="28" t="str">
        <x:v>Month 3</x:v>
      </x:c>
      <x:c r="D171" s="28" t="str">
        <x:v>Backend Engineer</x:v>
      </x:c>
      <x:c r="E171" s="28" t="str">
        <x:v>Status</x:v>
      </x:c>
      <x:c r="F171" s="28" t="str">
        <x:v>Implement VM status count</x:v>
      </x:c>
      <x:c r="G171" s="28" t="str">
        <x:v>VM status API</x:v>
      </x:c>
      <x:c r="H171" s="28" t="str">
        <x:v>Critical</x:v>
      </x:c>
      <x:c r="I171" s="42" t="n">
        <x:f>INDEX('Sprint Plan'!$D$9:$D$20,MATCH(B171,'Sprint Plan'!$A$9:$A$20,0))</x:f>
        <x:v>46260</x:v>
      </x:c>
      <x:c r="J171" s="42" t="n">
        <x:f>INDEX('Sprint Plan'!$E$9:$E$20,MATCH(B171,'Sprint Plan'!$A$9:$A$20,0))</x:f>
        <x:v>46273</x:v>
      </x:c>
      <x:c r="K171" s="28" t="str">
        <x:v>TBD</x:v>
      </x:c>
      <x:c r="L171" s="28" t="str">
        <x:v>Not Started</x:v>
      </x:c>
      <x:c r="M171" s="43" t="n">
        <x:v>0</x:v>
      </x:c>
      <x:c r="N171" s="28" t="n">
        <x:v>1</x:v>
      </x:c>
      <x:c r="O171" s="28" t="str"/>
      <x:c r="P171" s="28" t="str"/>
      <x:c r="Q171" s="28" t="str"/>
      <x:c r="R171" s="28" t="str"/>
      <x:c r="S171" s="28" t="str">
        <x:v>High</x:v>
      </x:c>
      <x:c r="T171" s="28" t="str">
        <x:f>IF(L171="Done","Green",IF(L171="Blocked","Red",IF(TODAY()&gt;J171,"Red",IF(M171&gt;=0.6,"Yellow","Green"))))</x:f>
        <x:v>Green</x:v>
      </x:c>
      <x:c r="U171" s="28" t="str"/>
    </x:row>
    <x:row r="172">
      <x:c r="A172" s="28" t="str">
        <x:v>SV-04-0170</x:v>
      </x:c>
      <x:c r="B172" s="28" t="str">
        <x:v>Sprint 4</x:v>
      </x:c>
      <x:c r="C172" s="28" t="str">
        <x:v>Month 3</x:v>
      </x:c>
      <x:c r="D172" s="28" t="str">
        <x:v>Backend Engineer</x:v>
      </x:c>
      <x:c r="E172" s="28" t="str">
        <x:v>Activity</x:v>
      </x:c>
      <x:c r="F172" s="28" t="str">
        <x:v>Implement recent activity</x:v>
      </x:c>
      <x:c r="G172" s="28" t="str">
        <x:v>Activity API</x:v>
      </x:c>
      <x:c r="H172" s="28" t="str">
        <x:v>Critical</x:v>
      </x:c>
      <x:c r="I172" s="42" t="n">
        <x:f>INDEX('Sprint Plan'!$D$9:$D$20,MATCH(B172,'Sprint Plan'!$A$9:$A$20,0))</x:f>
        <x:v>46260</x:v>
      </x:c>
      <x:c r="J172" s="42" t="n">
        <x:f>INDEX('Sprint Plan'!$E$9:$E$20,MATCH(B172,'Sprint Plan'!$A$9:$A$20,0))</x:f>
        <x:v>46273</x:v>
      </x:c>
      <x:c r="K172" s="28" t="str">
        <x:v>TBD</x:v>
      </x:c>
      <x:c r="L172" s="28" t="str">
        <x:v>Not Started</x:v>
      </x:c>
      <x:c r="M172" s="43" t="n">
        <x:v>0</x:v>
      </x:c>
      <x:c r="N172" s="28" t="n">
        <x:v>1</x:v>
      </x:c>
      <x:c r="O172" s="28" t="str"/>
      <x:c r="P172" s="28" t="str"/>
      <x:c r="Q172" s="28" t="str"/>
      <x:c r="R172" s="28" t="str"/>
      <x:c r="S172" s="28" t="str">
        <x:v>High</x:v>
      </x:c>
      <x:c r="T172" s="28" t="str">
        <x:f>IF(L172="Done","Green",IF(L172="Blocked","Red",IF(TODAY()&gt;J172,"Red",IF(M172&gt;=0.6,"Yellow","Green"))))</x:f>
        <x:v>Green</x:v>
      </x:c>
      <x:c r="U172" s="28" t="str"/>
    </x:row>
    <x:row r="173">
      <x:c r="A173" s="28" t="str">
        <x:v>SV-04-0171</x:v>
      </x:c>
      <x:c r="B173" s="28" t="str">
        <x:v>Sprint 4</x:v>
      </x:c>
      <x:c r="C173" s="28" t="str">
        <x:v>Month 3</x:v>
      </x:c>
      <x:c r="D173" s="28" t="str">
        <x:v>Backend Engineer</x:v>
      </x:c>
      <x:c r="E173" s="28" t="str">
        <x:v>Alert</x:v>
      </x:c>
      <x:c r="F173" s="28" t="str">
        <x:v>Implement alert placeholder dan improve audit log</x:v>
      </x:c>
      <x:c r="G173" s="28" t="str">
        <x:v>Alert API draft</x:v>
      </x:c>
      <x:c r="H173" s="28" t="str">
        <x:v>Critical</x:v>
      </x:c>
      <x:c r="I173" s="42" t="n">
        <x:f>INDEX('Sprint Plan'!$D$9:$D$20,MATCH(B173,'Sprint Plan'!$A$9:$A$20,0))</x:f>
        <x:v>46260</x:v>
      </x:c>
      <x:c r="J173" s="42" t="n">
        <x:f>INDEX('Sprint Plan'!$E$9:$E$20,MATCH(B173,'Sprint Plan'!$A$9:$A$20,0))</x:f>
        <x:v>46273</x:v>
      </x:c>
      <x:c r="K173" s="28" t="str">
        <x:v>TBD</x:v>
      </x:c>
      <x:c r="L173" s="28" t="str">
        <x:v>Not Started</x:v>
      </x:c>
      <x:c r="M173" s="43" t="n">
        <x:v>0</x:v>
      </x:c>
      <x:c r="N173" s="28" t="n">
        <x:v>1</x:v>
      </x:c>
      <x:c r="O173" s="28" t="str"/>
      <x:c r="P173" s="28" t="str"/>
      <x:c r="Q173" s="28" t="str"/>
      <x:c r="R173" s="28" t="str"/>
      <x:c r="S173" s="28" t="str">
        <x:v>High</x:v>
      </x:c>
      <x:c r="T173" s="28" t="str">
        <x:f>IF(L173="Done","Green",IF(L173="Blocked","Red",IF(TODAY()&gt;J173,"Red",IF(M173&gt;=0.6,"Yellow","Green"))))</x:f>
        <x:v>Green</x:v>
      </x:c>
      <x:c r="U173" s="28" t="str"/>
    </x:row>
    <x:row r="174">
      <x:c r="A174" s="28" t="str">
        <x:v>SV-04-0172</x:v>
      </x:c>
      <x:c r="B174" s="28" t="str">
        <x:v>Sprint 4</x:v>
      </x:c>
      <x:c r="C174" s="28" t="str">
        <x:v>Month 3</x:v>
      </x:c>
      <x:c r="D174" s="28" t="str">
        <x:v>Frontend Engineer</x:v>
      </x:c>
      <x:c r="E174" s="28" t="str">
        <x:v>Dashboard</x:v>
      </x:c>
      <x:c r="F174" s="28" t="str">
        <x:v>Build dashboard real</x:v>
      </x:c>
      <x:c r="G174" s="28" t="str">
        <x:v>Dashboard</x:v>
      </x:c>
      <x:c r="H174" s="28" t="str">
        <x:v>Critical</x:v>
      </x:c>
      <x:c r="I174" s="42" t="n">
        <x:f>INDEX('Sprint Plan'!$D$9:$D$20,MATCH(B174,'Sprint Plan'!$A$9:$A$20,0))</x:f>
        <x:v>46260</x:v>
      </x:c>
      <x:c r="J174" s="42" t="n">
        <x:f>INDEX('Sprint Plan'!$E$9:$E$20,MATCH(B174,'Sprint Plan'!$A$9:$A$20,0))</x:f>
        <x:v>46273</x:v>
      </x:c>
      <x:c r="K174" s="28" t="str">
        <x:v>TBD</x:v>
      </x:c>
      <x:c r="L174" s="28" t="str">
        <x:v>Not Started</x:v>
      </x:c>
      <x:c r="M174" s="43" t="n">
        <x:v>0</x:v>
      </x:c>
      <x:c r="N174" s="28" t="n">
        <x:v>1</x:v>
      </x:c>
      <x:c r="O174" s="28" t="str"/>
      <x:c r="P174" s="28" t="str"/>
      <x:c r="Q174" s="28" t="str"/>
      <x:c r="R174" s="28" t="str"/>
      <x:c r="S174" s="28" t="str">
        <x:v>High</x:v>
      </x:c>
      <x:c r="T174" s="28" t="str">
        <x:f>IF(L174="Done","Green",IF(L174="Blocked","Red",IF(TODAY()&gt;J174,"Red",IF(M174&gt;=0.6,"Yellow","Green"))))</x:f>
        <x:v>Green</x:v>
      </x:c>
      <x:c r="U174" s="28" t="str"/>
    </x:row>
    <x:row r="175">
      <x:c r="A175" s="28" t="str">
        <x:v>SV-04-0173</x:v>
      </x:c>
      <x:c r="B175" s="28" t="str">
        <x:v>Sprint 4</x:v>
      </x:c>
      <x:c r="C175" s="28" t="str">
        <x:v>Month 3</x:v>
      </x:c>
      <x:c r="D175" s="28" t="str">
        <x:v>Frontend Engineer</x:v>
      </x:c>
      <x:c r="E175" s="28" t="str">
        <x:v>Host Detail</x:v>
      </x:c>
      <x:c r="F175" s="28" t="str">
        <x:v>Build host detail</x:v>
      </x:c>
      <x:c r="G175" s="28" t="str">
        <x:v>Host detail</x:v>
      </x:c>
      <x:c r="H175" s="28" t="str">
        <x:v>Critical</x:v>
      </x:c>
      <x:c r="I175" s="42" t="n">
        <x:f>INDEX('Sprint Plan'!$D$9:$D$20,MATCH(B175,'Sprint Plan'!$A$9:$A$20,0))</x:f>
        <x:v>46260</x:v>
      </x:c>
      <x:c r="J175" s="42" t="n">
        <x:f>INDEX('Sprint Plan'!$E$9:$E$20,MATCH(B175,'Sprint Plan'!$A$9:$A$20,0))</x:f>
        <x:v>46273</x:v>
      </x:c>
      <x:c r="K175" s="28" t="str">
        <x:v>TBD</x:v>
      </x:c>
      <x:c r="L175" s="28" t="str">
        <x:v>Not Started</x:v>
      </x:c>
      <x:c r="M175" s="43" t="n">
        <x:v>0</x:v>
      </x:c>
      <x:c r="N175" s="28" t="n">
        <x:v>1</x:v>
      </x:c>
      <x:c r="O175" s="28" t="str"/>
      <x:c r="P175" s="28" t="str"/>
      <x:c r="Q175" s="28" t="str"/>
      <x:c r="R175" s="28" t="str"/>
      <x:c r="S175" s="28" t="str">
        <x:v>High</x:v>
      </x:c>
      <x:c r="T175" s="28" t="str">
        <x:f>IF(L175="Done","Green",IF(L175="Blocked","Red",IF(TODAY()&gt;J175,"Red",IF(M175&gt;=0.6,"Yellow","Green"))))</x:f>
        <x:v>Green</x:v>
      </x:c>
      <x:c r="U175" s="28" t="str"/>
    </x:row>
    <x:row r="176">
      <x:c r="A176" s="28" t="str">
        <x:v>SV-04-0174</x:v>
      </x:c>
      <x:c r="B176" s="28" t="str">
        <x:v>Sprint 4</x:v>
      </x:c>
      <x:c r="C176" s="28" t="str">
        <x:v>Month 3</x:v>
      </x:c>
      <x:c r="D176" s="28" t="str">
        <x:v>Frontend Engineer</x:v>
      </x:c>
      <x:c r="E176" s="28" t="str">
        <x:v>VM Detail</x:v>
      </x:c>
      <x:c r="F176" s="28" t="str">
        <x:v>Build VM detail full</x:v>
      </x:c>
      <x:c r="G176" s="28" t="str">
        <x:v>VM detail</x:v>
      </x:c>
      <x:c r="H176" s="28" t="str">
        <x:v>Critical</x:v>
      </x:c>
      <x:c r="I176" s="42" t="n">
        <x:f>INDEX('Sprint Plan'!$D$9:$D$20,MATCH(B176,'Sprint Plan'!$A$9:$A$20,0))</x:f>
        <x:v>46260</x:v>
      </x:c>
      <x:c r="J176" s="42" t="n">
        <x:f>INDEX('Sprint Plan'!$E$9:$E$20,MATCH(B176,'Sprint Plan'!$A$9:$A$20,0))</x:f>
        <x:v>46273</x:v>
      </x:c>
      <x:c r="K176" s="28" t="str">
        <x:v>TBD</x:v>
      </x:c>
      <x:c r="L176" s="28" t="str">
        <x:v>Not Started</x:v>
      </x:c>
      <x:c r="M176" s="43" t="n">
        <x:v>0</x:v>
      </x:c>
      <x:c r="N176" s="28" t="n">
        <x:v>1</x:v>
      </x:c>
      <x:c r="O176" s="28" t="str"/>
      <x:c r="P176" s="28" t="str"/>
      <x:c r="Q176" s="28" t="str"/>
      <x:c r="R176" s="28" t="str"/>
      <x:c r="S176" s="28" t="str">
        <x:v>High</x:v>
      </x:c>
      <x:c r="T176" s="28" t="str">
        <x:f>IF(L176="Done","Green",IF(L176="Blocked","Red",IF(TODAY()&gt;J176,"Red",IF(M176&gt;=0.6,"Yellow","Green"))))</x:f>
        <x:v>Green</x:v>
      </x:c>
      <x:c r="U176" s="28" t="str"/>
    </x:row>
    <x:row r="177">
      <x:c r="A177" s="28" t="str">
        <x:v>SV-04-0175</x:v>
      </x:c>
      <x:c r="B177" s="28" t="str">
        <x:v>Sprint 4</x:v>
      </x:c>
      <x:c r="C177" s="28" t="str">
        <x:v>Month 3</x:v>
      </x:c>
      <x:c r="D177" s="28" t="str">
        <x:v>Frontend Engineer</x:v>
      </x:c>
      <x:c r="E177" s="28" t="str">
        <x:v>Activity</x:v>
      </x:c>
      <x:c r="F177" s="28" t="str">
        <x:v>Build recent activity and alert panel</x:v>
      </x:c>
      <x:c r="G177" s="28" t="str">
        <x:v>Activity/alert panel</x:v>
      </x:c>
      <x:c r="H177" s="28" t="str">
        <x:v>Critical</x:v>
      </x:c>
      <x:c r="I177" s="42" t="n">
        <x:f>INDEX('Sprint Plan'!$D$9:$D$20,MATCH(B177,'Sprint Plan'!$A$9:$A$20,0))</x:f>
        <x:v>46260</x:v>
      </x:c>
      <x:c r="J177" s="42" t="n">
        <x:f>INDEX('Sprint Plan'!$E$9:$E$20,MATCH(B177,'Sprint Plan'!$A$9:$A$20,0))</x:f>
        <x:v>46273</x:v>
      </x:c>
      <x:c r="K177" s="28" t="str">
        <x:v>TBD</x:v>
      </x:c>
      <x:c r="L177" s="28" t="str">
        <x:v>Not Started</x:v>
      </x:c>
      <x:c r="M177" s="43" t="n">
        <x:v>0</x:v>
      </x:c>
      <x:c r="N177" s="28" t="n">
        <x:v>1</x:v>
      </x:c>
      <x:c r="O177" s="28" t="str"/>
      <x:c r="P177" s="28" t="str"/>
      <x:c r="Q177" s="28" t="str"/>
      <x:c r="R177" s="28" t="str"/>
      <x:c r="S177" s="28" t="str">
        <x:v>High</x:v>
      </x:c>
      <x:c r="T177" s="28" t="str">
        <x:f>IF(L177="Done","Green",IF(L177="Blocked","Red",IF(TODAY()&gt;J177,"Red",IF(M177&gt;=0.6,"Yellow","Green"))))</x:f>
        <x:v>Green</x:v>
      </x:c>
      <x:c r="U177" s="28" t="str"/>
    </x:row>
    <x:row r="178">
      <x:c r="A178" s="28" t="str">
        <x:v>SV-04-0176</x:v>
      </x:c>
      <x:c r="B178" s="28" t="str">
        <x:v>Sprint 4</x:v>
      </x:c>
      <x:c r="C178" s="28" t="str">
        <x:v>Month 3</x:v>
      </x:c>
      <x:c r="D178" s="28" t="str">
        <x:v>Frontend Engineer</x:v>
      </x:c>
      <x:c r="E178" s="28" t="str">
        <x:v>Polish</x:v>
      </x:c>
      <x:c r="F178" s="28" t="str">
        <x:v>Polish navigation and responsive layout</x:v>
      </x:c>
      <x:c r="G178" s="28" t="str">
        <x:v>Responsive UI</x:v>
      </x:c>
      <x:c r="H178" s="28" t="str">
        <x:v>Critical</x:v>
      </x:c>
      <x:c r="I178" s="42" t="n">
        <x:f>INDEX('Sprint Plan'!$D$9:$D$20,MATCH(B178,'Sprint Plan'!$A$9:$A$20,0))</x:f>
        <x:v>46260</x:v>
      </x:c>
      <x:c r="J178" s="42" t="n">
        <x:f>INDEX('Sprint Plan'!$E$9:$E$20,MATCH(B178,'Sprint Plan'!$A$9:$A$20,0))</x:f>
        <x:v>46273</x:v>
      </x:c>
      <x:c r="K178" s="28" t="str">
        <x:v>TBD</x:v>
      </x:c>
      <x:c r="L178" s="28" t="str">
        <x:v>Not Started</x:v>
      </x:c>
      <x:c r="M178" s="43" t="n">
        <x:v>0</x:v>
      </x:c>
      <x:c r="N178" s="28" t="n">
        <x:v>1</x:v>
      </x:c>
      <x:c r="O178" s="28" t="str"/>
      <x:c r="P178" s="28" t="str"/>
      <x:c r="Q178" s="28" t="str"/>
      <x:c r="R178" s="28" t="str"/>
      <x:c r="S178" s="28" t="str">
        <x:v>High</x:v>
      </x:c>
      <x:c r="T178" s="28" t="str">
        <x:f>IF(L178="Done","Green",IF(L178="Blocked","Red",IF(TODAY()&gt;J178,"Red",IF(M178&gt;=0.6,"Yellow","Green"))))</x:f>
        <x:v>Green</x:v>
      </x:c>
      <x:c r="U178" s="28" t="str"/>
    </x:row>
    <x:row r="179">
      <x:c r="A179" s="28" t="str">
        <x:v>SV-04-0177</x:v>
      </x:c>
      <x:c r="B179" s="28" t="str">
        <x:v>Sprint 4</x:v>
      </x:c>
      <x:c r="C179" s="28" t="str">
        <x:v>Month 3</x:v>
      </x:c>
      <x:c r="D179" s="28" t="str">
        <x:v>QA/Tester</x:v>
      </x:c>
      <x:c r="E179" s="28" t="str">
        <x:v>Regression</x:v>
      </x:c>
      <x:c r="F179" s="28" t="str">
        <x:v>UI regression test</x:v>
      </x:c>
      <x:c r="G179" s="28" t="str">
        <x:v>Regression result</x:v>
      </x:c>
      <x:c r="H179" s="28" t="str">
        <x:v>Critical</x:v>
      </x:c>
      <x:c r="I179" s="42" t="n">
        <x:f>INDEX('Sprint Plan'!$D$9:$D$20,MATCH(B179,'Sprint Plan'!$A$9:$A$20,0))</x:f>
        <x:v>46260</x:v>
      </x:c>
      <x:c r="J179" s="42" t="n">
        <x:f>INDEX('Sprint Plan'!$E$9:$E$20,MATCH(B179,'Sprint Plan'!$A$9:$A$20,0))</x:f>
        <x:v>46273</x:v>
      </x:c>
      <x:c r="K179" s="28" t="str">
        <x:v>TBD</x:v>
      </x:c>
      <x:c r="L179" s="28" t="str">
        <x:v>Not Started</x:v>
      </x:c>
      <x:c r="M179" s="43" t="n">
        <x:v>0</x:v>
      </x:c>
      <x:c r="N179" s="28" t="n">
        <x:v>1</x:v>
      </x:c>
      <x:c r="O179" s="28" t="str"/>
      <x:c r="P179" s="28" t="str"/>
      <x:c r="Q179" s="28" t="str"/>
      <x:c r="R179" s="28" t="str"/>
      <x:c r="S179" s="28" t="str">
        <x:v>High</x:v>
      </x:c>
      <x:c r="T179" s="28" t="str">
        <x:f>IF(L179="Done","Green",IF(L179="Blocked","Red",IF(TODAY()&gt;J179,"Red",IF(M179&gt;=0.6,"Yellow","Green"))))</x:f>
        <x:v>Green</x:v>
      </x:c>
      <x:c r="U179" s="28" t="str"/>
    </x:row>
    <x:row r="180">
      <x:c r="A180" s="28" t="str">
        <x:v>SV-04-0178</x:v>
      </x:c>
      <x:c r="B180" s="28" t="str">
        <x:v>Sprint 4</x:v>
      </x:c>
      <x:c r="C180" s="28" t="str">
        <x:v>Month 3</x:v>
      </x:c>
      <x:c r="D180" s="28" t="str">
        <x:v>QA/Tester</x:v>
      </x:c>
      <x:c r="E180" s="28" t="str">
        <x:v>Dashboard</x:v>
      </x:c>
      <x:c r="F180" s="28" t="str">
        <x:v>Test dashboard data</x:v>
      </x:c>
      <x:c r="G180" s="28" t="str">
        <x:v>Dashboard test</x:v>
      </x:c>
      <x:c r="H180" s="28" t="str">
        <x:v>Critical</x:v>
      </x:c>
      <x:c r="I180" s="42" t="n">
        <x:f>INDEX('Sprint Plan'!$D$9:$D$20,MATCH(B180,'Sprint Plan'!$A$9:$A$20,0))</x:f>
        <x:v>46260</x:v>
      </x:c>
      <x:c r="J180" s="42" t="n">
        <x:f>INDEX('Sprint Plan'!$E$9:$E$20,MATCH(B180,'Sprint Plan'!$A$9:$A$20,0))</x:f>
        <x:v>46273</x:v>
      </x:c>
      <x:c r="K180" s="28" t="str">
        <x:v>TBD</x:v>
      </x:c>
      <x:c r="L180" s="28" t="str">
        <x:v>Not Started</x:v>
      </x:c>
      <x:c r="M180" s="43" t="n">
        <x:v>0</x:v>
      </x:c>
      <x:c r="N180" s="28" t="n">
        <x:v>1</x:v>
      </x:c>
      <x:c r="O180" s="28" t="str"/>
      <x:c r="P180" s="28" t="str"/>
      <x:c r="Q180" s="28" t="str"/>
      <x:c r="R180" s="28" t="str"/>
      <x:c r="S180" s="28" t="str">
        <x:v>High</x:v>
      </x:c>
      <x:c r="T180" s="28" t="str">
        <x:f>IF(L180="Done","Green",IF(L180="Blocked","Red",IF(TODAY()&gt;J180,"Red",IF(M180&gt;=0.6,"Yellow","Green"))))</x:f>
        <x:v>Green</x:v>
      </x:c>
      <x:c r="U180" s="28" t="str"/>
    </x:row>
    <x:row r="181">
      <x:c r="A181" s="28" t="str">
        <x:v>SV-04-0179</x:v>
      </x:c>
      <x:c r="B181" s="28" t="str">
        <x:v>Sprint 4</x:v>
      </x:c>
      <x:c r="C181" s="28" t="str">
        <x:v>Month 3</x:v>
      </x:c>
      <x:c r="D181" s="28" t="str">
        <x:v>QA/Tester</x:v>
      </x:c>
      <x:c r="E181" s="28" t="str">
        <x:v>RBAC</x:v>
      </x:c>
      <x:c r="F181" s="28" t="str">
        <x:v>Test role UI access</x:v>
      </x:c>
      <x:c r="G181" s="28" t="str">
        <x:v>RBAC UI test</x:v>
      </x:c>
      <x:c r="H181" s="28" t="str">
        <x:v>Critical</x:v>
      </x:c>
      <x:c r="I181" s="42" t="n">
        <x:f>INDEX('Sprint Plan'!$D$9:$D$20,MATCH(B181,'Sprint Plan'!$A$9:$A$20,0))</x:f>
        <x:v>46260</x:v>
      </x:c>
      <x:c r="J181" s="42" t="n">
        <x:f>INDEX('Sprint Plan'!$E$9:$E$20,MATCH(B181,'Sprint Plan'!$A$9:$A$20,0))</x:f>
        <x:v>46273</x:v>
      </x:c>
      <x:c r="K181" s="28" t="str">
        <x:v>TBD</x:v>
      </x:c>
      <x:c r="L181" s="28" t="str">
        <x:v>Not Started</x:v>
      </x:c>
      <x:c r="M181" s="43" t="n">
        <x:v>0</x:v>
      </x:c>
      <x:c r="N181" s="28" t="n">
        <x:v>1</x:v>
      </x:c>
      <x:c r="O181" s="28" t="str"/>
      <x:c r="P181" s="28" t="str"/>
      <x:c r="Q181" s="28" t="str"/>
      <x:c r="R181" s="28" t="str"/>
      <x:c r="S181" s="28" t="str">
        <x:v>High</x:v>
      </x:c>
      <x:c r="T181" s="28" t="str">
        <x:f>IF(L181="Done","Green",IF(L181="Blocked","Red",IF(TODAY()&gt;J181,"Red",IF(M181&gt;=0.6,"Yellow","Green"))))</x:f>
        <x:v>Green</x:v>
      </x:c>
      <x:c r="U181" s="28" t="str"/>
    </x:row>
    <x:row r="182">
      <x:c r="A182" s="28" t="str">
        <x:v>SV-04-0180</x:v>
      </x:c>
      <x:c r="B182" s="28" t="str">
        <x:v>Sprint 4</x:v>
      </x:c>
      <x:c r="C182" s="28" t="str">
        <x:v>Month 3</x:v>
      </x:c>
      <x:c r="D182" s="28" t="str">
        <x:v>QA/Tester</x:v>
      </x:c>
      <x:c r="E182" s="28" t="str">
        <x:v>Browser</x:v>
      </x:c>
      <x:c r="F182" s="28" t="str">
        <x:v>Test browser compatibility</x:v>
      </x:c>
      <x:c r="G182" s="28" t="str">
        <x:v>Browser test</x:v>
      </x:c>
      <x:c r="H182" s="28" t="str">
        <x:v>Critical</x:v>
      </x:c>
      <x:c r="I182" s="42" t="n">
        <x:f>INDEX('Sprint Plan'!$D$9:$D$20,MATCH(B182,'Sprint Plan'!$A$9:$A$20,0))</x:f>
        <x:v>46260</x:v>
      </x:c>
      <x:c r="J182" s="42" t="n">
        <x:f>INDEX('Sprint Plan'!$E$9:$E$20,MATCH(B182,'Sprint Plan'!$A$9:$A$20,0))</x:f>
        <x:v>46273</x:v>
      </x:c>
      <x:c r="K182" s="28" t="str">
        <x:v>TBD</x:v>
      </x:c>
      <x:c r="L182" s="28" t="str">
        <x:v>Not Started</x:v>
      </x:c>
      <x:c r="M182" s="43" t="n">
        <x:v>0</x:v>
      </x:c>
      <x:c r="N182" s="28" t="n">
        <x:v>1</x:v>
      </x:c>
      <x:c r="O182" s="28" t="str"/>
      <x:c r="P182" s="28" t="str"/>
      <x:c r="Q182" s="28" t="str"/>
      <x:c r="R182" s="28" t="str"/>
      <x:c r="S182" s="28" t="str">
        <x:v>High</x:v>
      </x:c>
      <x:c r="T182" s="28" t="str">
        <x:f>IF(L182="Done","Green",IF(L182="Blocked","Red",IF(TODAY()&gt;J182,"Red",IF(M182&gt;=0.6,"Yellow","Green"))))</x:f>
        <x:v>Green</x:v>
      </x:c>
      <x:c r="U182" s="28" t="str"/>
    </x:row>
    <x:row r="183">
      <x:c r="A183" s="28" t="str">
        <x:v>SV-04-0181</x:v>
      </x:c>
      <x:c r="B183" s="28" t="str">
        <x:v>Sprint 4</x:v>
      </x:c>
      <x:c r="C183" s="28" t="str">
        <x:v>Month 3</x:v>
      </x:c>
      <x:c r="D183" s="28" t="str">
        <x:v>QA/Tester</x:v>
      </x:c>
      <x:c r="E183" s="28" t="str">
        <x:v>E2E</x:v>
      </x:c>
      <x:c r="F183" s="28" t="str">
        <x:v>Test demo flow end-to-end</x:v>
      </x:c>
      <x:c r="G183" s="28" t="str">
        <x:v>E2E test</x:v>
      </x:c>
      <x:c r="H183" s="28" t="str">
        <x:v>Critical</x:v>
      </x:c>
      <x:c r="I183" s="42" t="n">
        <x:f>INDEX('Sprint Plan'!$D$9:$D$20,MATCH(B183,'Sprint Plan'!$A$9:$A$20,0))</x:f>
        <x:v>46260</x:v>
      </x:c>
      <x:c r="J183" s="42" t="n">
        <x:f>INDEX('Sprint Plan'!$E$9:$E$20,MATCH(B183,'Sprint Plan'!$A$9:$A$20,0))</x:f>
        <x:v>46273</x:v>
      </x:c>
      <x:c r="K183" s="28" t="str">
        <x:v>TBD</x:v>
      </x:c>
      <x:c r="L183" s="28" t="str">
        <x:v>Not Started</x:v>
      </x:c>
      <x:c r="M183" s="43" t="n">
        <x:v>0</x:v>
      </x:c>
      <x:c r="N183" s="28" t="n">
        <x:v>1</x:v>
      </x:c>
      <x:c r="O183" s="28" t="str"/>
      <x:c r="P183" s="28" t="str"/>
      <x:c r="Q183" s="28" t="str"/>
      <x:c r="R183" s="28" t="str"/>
      <x:c r="S183" s="28" t="str">
        <x:v>High</x:v>
      </x:c>
      <x:c r="T183" s="28" t="str">
        <x:f>IF(L183="Done","Green",IF(L183="Blocked","Red",IF(TODAY()&gt;J183,"Red",IF(M183&gt;=0.6,"Yellow","Green"))))</x:f>
        <x:v>Green</x:v>
      </x:c>
      <x:c r="U183" s="28" t="str"/>
    </x:row>
    <x:row r="184">
      <x:c r="A184" s="28" t="str">
        <x:v>SV-04-0182</x:v>
      </x:c>
      <x:c r="B184" s="28" t="str">
        <x:v>Sprint 4</x:v>
      </x:c>
      <x:c r="C184" s="28" t="str">
        <x:v>Month 3</x:v>
      </x:c>
      <x:c r="D184" s="28" t="str">
        <x:v>Technical Writer</x:v>
      </x:c>
      <x:c r="E184" s="28" t="str">
        <x:v>Portal Guide</x:v>
      </x:c>
      <x:c r="F184" s="28" t="str">
        <x:v>Admin guide portal</x:v>
      </x:c>
      <x:c r="G184" s="28" t="str">
        <x:v>Portal guide</x:v>
      </x:c>
      <x:c r="H184" s="28" t="str">
        <x:v>Critical</x:v>
      </x:c>
      <x:c r="I184" s="42" t="n">
        <x:f>INDEX('Sprint Plan'!$D$9:$D$20,MATCH(B184,'Sprint Plan'!$A$9:$A$20,0))</x:f>
        <x:v>46260</x:v>
      </x:c>
      <x:c r="J184" s="42" t="n">
        <x:f>INDEX('Sprint Plan'!$E$9:$E$20,MATCH(B184,'Sprint Plan'!$A$9:$A$20,0))</x:f>
        <x:v>46273</x:v>
      </x:c>
      <x:c r="K184" s="28" t="str">
        <x:v>TBD</x:v>
      </x:c>
      <x:c r="L184" s="28" t="str">
        <x:v>Not Started</x:v>
      </x:c>
      <x:c r="M184" s="43" t="n">
        <x:v>0</x:v>
      </x:c>
      <x:c r="N184" s="28" t="n">
        <x:v>1</x:v>
      </x:c>
      <x:c r="O184" s="28" t="str"/>
      <x:c r="P184" s="28" t="str"/>
      <x:c r="Q184" s="28" t="str"/>
      <x:c r="R184" s="28" t="str"/>
      <x:c r="S184" s="28" t="str">
        <x:v>High</x:v>
      </x:c>
      <x:c r="T184" s="28" t="str">
        <x:f>IF(L184="Done","Green",IF(L184="Blocked","Red",IF(TODAY()&gt;J184,"Red",IF(M184&gt;=0.6,"Yellow","Green"))))</x:f>
        <x:v>Green</x:v>
      </x:c>
      <x:c r="U184" s="28" t="str"/>
    </x:row>
    <x:row r="185">
      <x:c r="A185" s="28" t="str">
        <x:v>SV-04-0183</x:v>
      </x:c>
      <x:c r="B185" s="28" t="str">
        <x:v>Sprint 4</x:v>
      </x:c>
      <x:c r="C185" s="28" t="str">
        <x:v>Month 3</x:v>
      </x:c>
      <x:c r="D185" s="28" t="str">
        <x:v>Technical Writer</x:v>
      </x:c>
      <x:c r="E185" s="28" t="str">
        <x:v>Screenshot</x:v>
      </x:c>
      <x:c r="F185" s="28" t="str">
        <x:v>Screenshot documentation</x:v>
      </x:c>
      <x:c r="G185" s="28" t="str">
        <x:v>Screenshot docs</x:v>
      </x:c>
      <x:c r="H185" s="28" t="str">
        <x:v>Critical</x:v>
      </x:c>
      <x:c r="I185" s="42" t="n">
        <x:f>INDEX('Sprint Plan'!$D$9:$D$20,MATCH(B185,'Sprint Plan'!$A$9:$A$20,0))</x:f>
        <x:v>46260</x:v>
      </x:c>
      <x:c r="J185" s="42" t="n">
        <x:f>INDEX('Sprint Plan'!$E$9:$E$20,MATCH(B185,'Sprint Plan'!$A$9:$A$20,0))</x:f>
        <x:v>46273</x:v>
      </x:c>
      <x:c r="K185" s="28" t="str">
        <x:v>TBD</x:v>
      </x:c>
      <x:c r="L185" s="28" t="str">
        <x:v>Not Started</x:v>
      </x:c>
      <x:c r="M185" s="43" t="n">
        <x:v>0</x:v>
      </x:c>
      <x:c r="N185" s="28" t="n">
        <x:v>1</x:v>
      </x:c>
      <x:c r="O185" s="28" t="str"/>
      <x:c r="P185" s="28" t="str"/>
      <x:c r="Q185" s="28" t="str"/>
      <x:c r="R185" s="28" t="str"/>
      <x:c r="S185" s="28" t="str">
        <x:v>High</x:v>
      </x:c>
      <x:c r="T185" s="28" t="str">
        <x:f>IF(L185="Done","Green",IF(L185="Blocked","Red",IF(TODAY()&gt;J185,"Red",IF(M185&gt;=0.6,"Yellow","Green"))))</x:f>
        <x:v>Green</x:v>
      </x:c>
      <x:c r="U185" s="28" t="str"/>
    </x:row>
    <x:row r="186">
      <x:c r="A186" s="28" t="str">
        <x:v>SV-04-0184</x:v>
      </x:c>
      <x:c r="B186" s="28" t="str">
        <x:v>Sprint 4</x:v>
      </x:c>
      <x:c r="C186" s="28" t="str">
        <x:v>Month 3</x:v>
      </x:c>
      <x:c r="D186" s="28" t="str">
        <x:v>Technical Writer</x:v>
      </x:c>
      <x:c r="E186" s="28" t="str">
        <x:v>Demo Guide</x:v>
      </x:c>
      <x:c r="F186" s="28" t="str">
        <x:v>Demo guide internal</x:v>
      </x:c>
      <x:c r="G186" s="28" t="str">
        <x:v>Demo guide</x:v>
      </x:c>
      <x:c r="H186" s="28" t="str">
        <x:v>Critical</x:v>
      </x:c>
      <x:c r="I186" s="42" t="n">
        <x:f>INDEX('Sprint Plan'!$D$9:$D$20,MATCH(B186,'Sprint Plan'!$A$9:$A$20,0))</x:f>
        <x:v>46260</x:v>
      </x:c>
      <x:c r="J186" s="42" t="n">
        <x:f>INDEX('Sprint Plan'!$E$9:$E$20,MATCH(B186,'Sprint Plan'!$A$9:$A$20,0))</x:f>
        <x:v>46273</x:v>
      </x:c>
      <x:c r="K186" s="28" t="str">
        <x:v>TBD</x:v>
      </x:c>
      <x:c r="L186" s="28" t="str">
        <x:v>Not Started</x:v>
      </x:c>
      <x:c r="M186" s="43" t="n">
        <x:v>0</x:v>
      </x:c>
      <x:c r="N186" s="28" t="n">
        <x:v>1</x:v>
      </x:c>
      <x:c r="O186" s="28" t="str"/>
      <x:c r="P186" s="28" t="str"/>
      <x:c r="Q186" s="28" t="str"/>
      <x:c r="R186" s="28" t="str"/>
      <x:c r="S186" s="28" t="str">
        <x:v>High</x:v>
      </x:c>
      <x:c r="T186" s="28" t="str">
        <x:f>IF(L186="Done","Green",IF(L186="Blocked","Red",IF(TODAY()&gt;J186,"Red",IF(M186&gt;=0.6,"Yellow","Green"))))</x:f>
        <x:v>Green</x:v>
      </x:c>
      <x:c r="U186" s="28" t="str"/>
    </x:row>
    <x:row r="187">
      <x:c r="A187" s="28" t="str">
        <x:v>SV-04-0185</x:v>
      </x:c>
      <x:c r="B187" s="28" t="str">
        <x:v>Sprint 4</x:v>
      </x:c>
      <x:c r="C187" s="28" t="str">
        <x:v>Month 3</x:v>
      </x:c>
      <x:c r="D187" s="28" t="str">
        <x:v>Sales/Marketing/Presales</x:v>
      </x:c>
      <x:c r="E187" s="28" t="str">
        <x:v>Screenshot</x:v>
      </x:c>
      <x:c r="F187" s="28" t="str">
        <x:v>Buat UI screenshot pack</x:v>
      </x:c>
      <x:c r="G187" s="28" t="str">
        <x:v>Screenshot pack</x:v>
      </x:c>
      <x:c r="H187" s="28" t="str">
        <x:v>Critical</x:v>
      </x:c>
      <x:c r="I187" s="42" t="n">
        <x:f>INDEX('Sprint Plan'!$D$9:$D$20,MATCH(B187,'Sprint Plan'!$A$9:$A$20,0))</x:f>
        <x:v>46260</x:v>
      </x:c>
      <x:c r="J187" s="42" t="n">
        <x:f>INDEX('Sprint Plan'!$E$9:$E$20,MATCH(B187,'Sprint Plan'!$A$9:$A$20,0))</x:f>
        <x:v>46273</x:v>
      </x:c>
      <x:c r="K187" s="28" t="str">
        <x:v>TBD</x:v>
      </x:c>
      <x:c r="L187" s="28" t="str">
        <x:v>Not Started</x:v>
      </x:c>
      <x:c r="M187" s="43" t="n">
        <x:v>0</x:v>
      </x:c>
      <x:c r="N187" s="28" t="n">
        <x:v>1</x:v>
      </x:c>
      <x:c r="O187" s="28" t="str"/>
      <x:c r="P187" s="28" t="str"/>
      <x:c r="Q187" s="28" t="str"/>
      <x:c r="R187" s="28" t="str"/>
      <x:c r="S187" s="28" t="str">
        <x:v>High</x:v>
      </x:c>
      <x:c r="T187" s="28" t="str">
        <x:f>IF(L187="Done","Green",IF(L187="Blocked","Red",IF(TODAY()&gt;J187,"Red",IF(M187&gt;=0.6,"Yellow","Green"))))</x:f>
        <x:v>Green</x:v>
      </x:c>
      <x:c r="U187" s="28" t="str"/>
    </x:row>
    <x:row r="188">
      <x:c r="A188" s="28" t="str">
        <x:v>SV-04-0186</x:v>
      </x:c>
      <x:c r="B188" s="28" t="str">
        <x:v>Sprint 4</x:v>
      </x:c>
      <x:c r="C188" s="28" t="str">
        <x:v>Month 3</x:v>
      </x:c>
      <x:c r="D188" s="28" t="str">
        <x:v>Sales/Marketing/Presales</x:v>
      </x:c>
      <x:c r="E188" s="28" t="str">
        <x:v>Brochure</x:v>
      </x:c>
      <x:c r="F188" s="28" t="str">
        <x:v>Buat teaser brochure</x:v>
      </x:c>
      <x:c r="G188" s="28" t="str">
        <x:v>Brochure draft</x:v>
      </x:c>
      <x:c r="H188" s="28" t="str">
        <x:v>Critical</x:v>
      </x:c>
      <x:c r="I188" s="42" t="n">
        <x:f>INDEX('Sprint Plan'!$D$9:$D$20,MATCH(B188,'Sprint Plan'!$A$9:$A$20,0))</x:f>
        <x:v>46260</x:v>
      </x:c>
      <x:c r="J188" s="42" t="n">
        <x:f>INDEX('Sprint Plan'!$E$9:$E$20,MATCH(B188,'Sprint Plan'!$A$9:$A$20,0))</x:f>
        <x:v>46273</x:v>
      </x:c>
      <x:c r="K188" s="28" t="str">
        <x:v>TBD</x:v>
      </x:c>
      <x:c r="L188" s="28" t="str">
        <x:v>Not Started</x:v>
      </x:c>
      <x:c r="M188" s="43" t="n">
        <x:v>0</x:v>
      </x:c>
      <x:c r="N188" s="28" t="n">
        <x:v>1</x:v>
      </x:c>
      <x:c r="O188" s="28" t="str"/>
      <x:c r="P188" s="28" t="str"/>
      <x:c r="Q188" s="28" t="str"/>
      <x:c r="R188" s="28" t="str"/>
      <x:c r="S188" s="28" t="str">
        <x:v>High</x:v>
      </x:c>
      <x:c r="T188" s="28" t="str">
        <x:f>IF(L188="Done","Green",IF(L188="Blocked","Red",IF(TODAY()&gt;J188,"Red",IF(M188&gt;=0.6,"Yellow","Green"))))</x:f>
        <x:v>Green</x:v>
      </x:c>
      <x:c r="U188" s="28" t="str"/>
    </x:row>
    <x:row r="189">
      <x:c r="A189" s="28" t="str">
        <x:v>SV-04-0187</x:v>
      </x:c>
      <x:c r="B189" s="28" t="str">
        <x:v>Sprint 4</x:v>
      </x:c>
      <x:c r="C189" s="28" t="str">
        <x:v>Month 3</x:v>
      </x:c>
      <x:c r="D189" s="28" t="str">
        <x:v>Sales/Marketing/Presales</x:v>
      </x:c>
      <x:c r="E189" s="28" t="str">
        <x:v>Social</x:v>
      </x:c>
      <x:c r="F189" s="28" t="str">
        <x:v>Buat LinkedIn/company post draft</x:v>
      </x:c>
      <x:c r="G189" s="28" t="str">
        <x:v>Social content</x:v>
      </x:c>
      <x:c r="H189" s="28" t="str">
        <x:v>Critical</x:v>
      </x:c>
      <x:c r="I189" s="42" t="n">
        <x:f>INDEX('Sprint Plan'!$D$9:$D$20,MATCH(B189,'Sprint Plan'!$A$9:$A$20,0))</x:f>
        <x:v>46260</x:v>
      </x:c>
      <x:c r="J189" s="42" t="n">
        <x:f>INDEX('Sprint Plan'!$E$9:$E$20,MATCH(B189,'Sprint Plan'!$A$9:$A$20,0))</x:f>
        <x:v>46273</x:v>
      </x:c>
      <x:c r="K189" s="28" t="str">
        <x:v>TBD</x:v>
      </x:c>
      <x:c r="L189" s="28" t="str">
        <x:v>Not Started</x:v>
      </x:c>
      <x:c r="M189" s="43" t="n">
        <x:v>0</x:v>
      </x:c>
      <x:c r="N189" s="28" t="n">
        <x:v>1</x:v>
      </x:c>
      <x:c r="O189" s="28" t="str"/>
      <x:c r="P189" s="28" t="str"/>
      <x:c r="Q189" s="28" t="str"/>
      <x:c r="R189" s="28" t="str"/>
      <x:c r="S189" s="28" t="str">
        <x:v>High</x:v>
      </x:c>
      <x:c r="T189" s="28" t="str">
        <x:f>IF(L189="Done","Green",IF(L189="Blocked","Red",IF(TODAY()&gt;J189,"Red",IF(M189&gt;=0.6,"Yellow","Green"))))</x:f>
        <x:v>Green</x:v>
      </x:c>
      <x:c r="U189" s="28" t="str"/>
    </x:row>
    <x:row r="190">
      <x:c r="A190" s="28" t="str">
        <x:v>SV-04-0188</x:v>
      </x:c>
      <x:c r="B190" s="28" t="str">
        <x:v>Sprint 4</x:v>
      </x:c>
      <x:c r="C190" s="28" t="str">
        <x:v>Month 3</x:v>
      </x:c>
      <x:c r="D190" s="28" t="str">
        <x:v>Sales/Marketing/Presales</x:v>
      </x:c>
      <x:c r="E190" s="28" t="str">
        <x:v>Sales Deck</x:v>
      </x:c>
      <x:c r="F190" s="28" t="str">
        <x:v>Buat sales deck v1</x:v>
      </x:c>
      <x:c r="G190" s="28" t="str">
        <x:v>Sales deck</x:v>
      </x:c>
      <x:c r="H190" s="28" t="str">
        <x:v>Critical</x:v>
      </x:c>
      <x:c r="I190" s="42" t="n">
        <x:f>INDEX('Sprint Plan'!$D$9:$D$20,MATCH(B190,'Sprint Plan'!$A$9:$A$20,0))</x:f>
        <x:v>46260</x:v>
      </x:c>
      <x:c r="J190" s="42" t="n">
        <x:f>INDEX('Sprint Plan'!$E$9:$E$20,MATCH(B190,'Sprint Plan'!$A$9:$A$20,0))</x:f>
        <x:v>46273</x:v>
      </x:c>
      <x:c r="K190" s="28" t="str">
        <x:v>TBD</x:v>
      </x:c>
      <x:c r="L190" s="28" t="str">
        <x:v>Not Started</x:v>
      </x:c>
      <x:c r="M190" s="43" t="n">
        <x:v>0</x:v>
      </x:c>
      <x:c r="N190" s="28" t="n">
        <x:v>1</x:v>
      </x:c>
      <x:c r="O190" s="28" t="str"/>
      <x:c r="P190" s="28" t="str"/>
      <x:c r="Q190" s="28" t="str"/>
      <x:c r="R190" s="28" t="str"/>
      <x:c r="S190" s="28" t="str">
        <x:v>High</x:v>
      </x:c>
      <x:c r="T190" s="28" t="str">
        <x:f>IF(L190="Done","Green",IF(L190="Blocked","Red",IF(TODAY()&gt;J190,"Red",IF(M190&gt;=0.6,"Yellow","Green"))))</x:f>
        <x:v>Green</x:v>
      </x:c>
      <x:c r="U190" s="28" t="str"/>
    </x:row>
    <x:row r="191">
      <x:c r="A191" s="28" t="str">
        <x:v>SV-04-0189</x:v>
      </x:c>
      <x:c r="B191" s="28" t="str">
        <x:v>Sprint 4</x:v>
      </x:c>
      <x:c r="C191" s="28" t="str">
        <x:v>Month 3</x:v>
      </x:c>
      <x:c r="D191" s="28" t="str">
        <x:v>Sales/Marketing/Presales</x:v>
      </x:c>
      <x:c r="E191" s="28" t="str">
        <x:v>Narrative</x:v>
      </x:c>
      <x:c r="F191" s="28" t="str">
        <x:v>Buat narrative virtualisasi lokal</x:v>
      </x:c>
      <x:c r="G191" s="28" t="str">
        <x:v>Marketing narrative</x:v>
      </x:c>
      <x:c r="H191" s="28" t="str">
        <x:v>Critical</x:v>
      </x:c>
      <x:c r="I191" s="42" t="n">
        <x:f>INDEX('Sprint Plan'!$D$9:$D$20,MATCH(B191,'Sprint Plan'!$A$9:$A$20,0))</x:f>
        <x:v>46260</x:v>
      </x:c>
      <x:c r="J191" s="42" t="n">
        <x:f>INDEX('Sprint Plan'!$E$9:$E$20,MATCH(B191,'Sprint Plan'!$A$9:$A$20,0))</x:f>
        <x:v>46273</x:v>
      </x:c>
      <x:c r="K191" s="28" t="str">
        <x:v>TBD</x:v>
      </x:c>
      <x:c r="L191" s="28" t="str">
        <x:v>Not Started</x:v>
      </x:c>
      <x:c r="M191" s="43" t="n">
        <x:v>0</x:v>
      </x:c>
      <x:c r="N191" s="28" t="n">
        <x:v>1</x:v>
      </x:c>
      <x:c r="O191" s="28" t="str"/>
      <x:c r="P191" s="28" t="str"/>
      <x:c r="Q191" s="28" t="str"/>
      <x:c r="R191" s="28" t="str"/>
      <x:c r="S191" s="28" t="str">
        <x:v>High</x:v>
      </x:c>
      <x:c r="T191" s="28" t="str">
        <x:f>IF(L191="Done","Green",IF(L191="Blocked","Red",IF(TODAY()&gt;J191,"Red",IF(M191&gt;=0.6,"Yellow","Green"))))</x:f>
        <x:v>Green</x:v>
      </x:c>
      <x:c r="U191" s="28" t="str"/>
    </x:row>
    <x:row r="192">
      <x:c r="A192" s="28" t="str">
        <x:v>SV-05-0190</x:v>
      </x:c>
      <x:c r="B192" s="28" t="str">
        <x:v>Sprint 5</x:v>
      </x:c>
      <x:c r="C192" s="28" t="str">
        <x:v>Month 3</x:v>
      </x:c>
      <x:c r="D192" s="28" t="str">
        <x:v>Product Owner</x:v>
      </x:c>
      <x:c r="E192" s="28" t="str">
        <x:v>Health</x:v>
      </x:c>
      <x:c r="F192" s="28" t="str">
        <x:v>Definisikan health score</x:v>
      </x:c>
      <x:c r="G192" s="28" t="str">
        <x:v>Health score rule</x:v>
      </x:c>
      <x:c r="H192" s="28" t="str">
        <x:v>High</x:v>
      </x:c>
      <x:c r="I192" s="42" t="n">
        <x:f>INDEX('Sprint Plan'!$D$9:$D$20,MATCH(B192,'Sprint Plan'!$A$9:$A$20,0))</x:f>
        <x:v>46274</x:v>
      </x:c>
      <x:c r="J192" s="42" t="n">
        <x:f>INDEX('Sprint Plan'!$E$9:$E$20,MATCH(B192,'Sprint Plan'!$A$9:$A$20,0))</x:f>
        <x:v>46287</x:v>
      </x:c>
      <x:c r="K192" s="28" t="str">
        <x:v>TBD</x:v>
      </x:c>
      <x:c r="L192" s="28" t="str">
        <x:v>Not Started</x:v>
      </x:c>
      <x:c r="M192" s="43" t="n">
        <x:v>0</x:v>
      </x:c>
      <x:c r="N192" s="28" t="n">
        <x:v>1</x:v>
      </x:c>
      <x:c r="O192" s="28" t="str"/>
      <x:c r="P192" s="28" t="str"/>
      <x:c r="Q192" s="28" t="str"/>
      <x:c r="R192" s="28" t="str"/>
      <x:c r="S192" s="28" t="str">
        <x:v>Medium</x:v>
      </x:c>
      <x:c r="T192" s="28" t="str">
        <x:f>IF(L192="Done","Green",IF(L192="Blocked","Red",IF(TODAY()&gt;J192,"Red",IF(M192&gt;=0.6,"Yellow","Green"))))</x:f>
        <x:v>Green</x:v>
      </x:c>
      <x:c r="U192" s="28" t="str"/>
    </x:row>
    <x:row r="193">
      <x:c r="A193" s="28" t="str">
        <x:v>SV-05-0191</x:v>
      </x:c>
      <x:c r="B193" s="28" t="str">
        <x:v>Sprint 5</x:v>
      </x:c>
      <x:c r="C193" s="28" t="str">
        <x:v>Month 3</x:v>
      </x:c>
      <x:c r="D193" s="28" t="str">
        <x:v>Product Owner</x:v>
      </x:c>
      <x:c r="E193" s="28" t="str">
        <x:v>Alert</x:v>
      </x:c>
      <x:c r="F193" s="28" t="str">
        <x:v>Definisikan alert prioritas</x:v>
      </x:c>
      <x:c r="G193" s="28" t="str">
        <x:v>Alert rule</x:v>
      </x:c>
      <x:c r="H193" s="28" t="str">
        <x:v>High</x:v>
      </x:c>
      <x:c r="I193" s="42" t="n">
        <x:f>INDEX('Sprint Plan'!$D$9:$D$20,MATCH(B193,'Sprint Plan'!$A$9:$A$20,0))</x:f>
        <x:v>46274</x:v>
      </x:c>
      <x:c r="J193" s="42" t="n">
        <x:f>INDEX('Sprint Plan'!$E$9:$E$20,MATCH(B193,'Sprint Plan'!$A$9:$A$20,0))</x:f>
        <x:v>46287</x:v>
      </x:c>
      <x:c r="K193" s="28" t="str">
        <x:v>TBD</x:v>
      </x:c>
      <x:c r="L193" s="28" t="str">
        <x:v>Not Started</x:v>
      </x:c>
      <x:c r="M193" s="43" t="n">
        <x:v>0</x:v>
      </x:c>
      <x:c r="N193" s="28" t="n">
        <x:v>1</x:v>
      </x:c>
      <x:c r="O193" s="28" t="str"/>
      <x:c r="P193" s="28" t="str"/>
      <x:c r="Q193" s="28" t="str"/>
      <x:c r="R193" s="28" t="str"/>
      <x:c r="S193" s="28" t="str">
        <x:v>Medium</x:v>
      </x:c>
      <x:c r="T193" s="28" t="str">
        <x:f>IF(L193="Done","Green",IF(L193="Blocked","Red",IF(TODAY()&gt;J193,"Red",IF(M193&gt;=0.6,"Yellow","Green"))))</x:f>
        <x:v>Green</x:v>
      </x:c>
      <x:c r="U193" s="28" t="str"/>
    </x:row>
    <x:row r="194">
      <x:c r="A194" s="28" t="str">
        <x:v>SV-05-0192</x:v>
      </x:c>
      <x:c r="B194" s="28" t="str">
        <x:v>Sprint 5</x:v>
      </x:c>
      <x:c r="C194" s="28" t="str">
        <x:v>Month 3</x:v>
      </x:c>
      <x:c r="D194" s="28" t="str">
        <x:v>Product Owner</x:v>
      </x:c>
      <x:c r="E194" s="28" t="str">
        <x:v>KPI</x:v>
      </x:c>
      <x:c r="F194" s="28" t="str">
        <x:v>Definisikan KPI manajemen</x:v>
      </x:c>
      <x:c r="G194" s="28" t="str">
        <x:v>Management KPI</x:v>
      </x:c>
      <x:c r="H194" s="28" t="str">
        <x:v>High</x:v>
      </x:c>
      <x:c r="I194" s="42" t="n">
        <x:f>INDEX('Sprint Plan'!$D$9:$D$20,MATCH(B194,'Sprint Plan'!$A$9:$A$20,0))</x:f>
        <x:v>46274</x:v>
      </x:c>
      <x:c r="J194" s="42" t="n">
        <x:f>INDEX('Sprint Plan'!$E$9:$E$20,MATCH(B194,'Sprint Plan'!$A$9:$A$20,0))</x:f>
        <x:v>46287</x:v>
      </x:c>
      <x:c r="K194" s="28" t="str">
        <x:v>TBD</x:v>
      </x:c>
      <x:c r="L194" s="28" t="str">
        <x:v>Not Started</x:v>
      </x:c>
      <x:c r="M194" s="43" t="n">
        <x:v>0</x:v>
      </x:c>
      <x:c r="N194" s="28" t="n">
        <x:v>1</x:v>
      </x:c>
      <x:c r="O194" s="28" t="str"/>
      <x:c r="P194" s="28" t="str"/>
      <x:c r="Q194" s="28" t="str"/>
      <x:c r="R194" s="28" t="str"/>
      <x:c r="S194" s="28" t="str">
        <x:v>Medium</x:v>
      </x:c>
      <x:c r="T194" s="28" t="str">
        <x:f>IF(L194="Done","Green",IF(L194="Blocked","Red",IF(TODAY()&gt;J194,"Red",IF(M194&gt;=0.6,"Yellow","Green"))))</x:f>
        <x:v>Green</x:v>
      </x:c>
      <x:c r="U194" s="28" t="str"/>
    </x:row>
    <x:row r="195">
      <x:c r="A195" s="28" t="str">
        <x:v>SV-05-0193</x:v>
      </x:c>
      <x:c r="B195" s="28" t="str">
        <x:v>Sprint 5</x:v>
      </x:c>
      <x:c r="C195" s="28" t="str">
        <x:v>Month 3</x:v>
      </x:c>
      <x:c r="D195" s="28" t="str">
        <x:v>Product Owner</x:v>
      </x:c>
      <x:c r="E195" s="28" t="str">
        <x:v>Threshold</x:v>
      </x:c>
      <x:c r="F195" s="28" t="str">
        <x:v>Definisikan threshold kapasitas</x:v>
      </x:c>
      <x:c r="G195" s="28" t="str">
        <x:v>Threshold rule</x:v>
      </x:c>
      <x:c r="H195" s="28" t="str">
        <x:v>High</x:v>
      </x:c>
      <x:c r="I195" s="42" t="n">
        <x:f>INDEX('Sprint Plan'!$D$9:$D$20,MATCH(B195,'Sprint Plan'!$A$9:$A$20,0))</x:f>
        <x:v>46274</x:v>
      </x:c>
      <x:c r="J195" s="42" t="n">
        <x:f>INDEX('Sprint Plan'!$E$9:$E$20,MATCH(B195,'Sprint Plan'!$A$9:$A$20,0))</x:f>
        <x:v>46287</x:v>
      </x:c>
      <x:c r="K195" s="28" t="str">
        <x:v>TBD</x:v>
      </x:c>
      <x:c r="L195" s="28" t="str">
        <x:v>Not Started</x:v>
      </x:c>
      <x:c r="M195" s="43" t="n">
        <x:v>0</x:v>
      </x:c>
      <x:c r="N195" s="28" t="n">
        <x:v>1</x:v>
      </x:c>
      <x:c r="O195" s="28" t="str"/>
      <x:c r="P195" s="28" t="str"/>
      <x:c r="Q195" s="28" t="str"/>
      <x:c r="R195" s="28" t="str"/>
      <x:c r="S195" s="28" t="str">
        <x:v>Medium</x:v>
      </x:c>
      <x:c r="T195" s="28" t="str">
        <x:f>IF(L195="Done","Green",IF(L195="Blocked","Red",IF(TODAY()&gt;J195,"Red",IF(M195&gt;=0.6,"Yellow","Green"))))</x:f>
        <x:v>Green</x:v>
      </x:c>
      <x:c r="U195" s="28" t="str"/>
    </x:row>
    <x:row r="196">
      <x:c r="A196" s="28" t="str">
        <x:v>SV-05-0194</x:v>
      </x:c>
      <x:c r="B196" s="28" t="str">
        <x:v>Sprint 5</x:v>
      </x:c>
      <x:c r="C196" s="28" t="str">
        <x:v>Month 3</x:v>
      </x:c>
      <x:c r="D196" s="28" t="str">
        <x:v>Solution Architect</x:v>
      </x:c>
      <x:c r="E196" s="28" t="str">
        <x:v>Monitoring</x:v>
      </x:c>
      <x:c r="F196" s="28" t="str">
        <x:v>Desain monitoring architecture</x:v>
      </x:c>
      <x:c r="G196" s="28" t="str">
        <x:v>Monitoring design</x:v>
      </x:c>
      <x:c r="H196" s="28" t="str">
        <x:v>High</x:v>
      </x:c>
      <x:c r="I196" s="42" t="n">
        <x:f>INDEX('Sprint Plan'!$D$9:$D$20,MATCH(B196,'Sprint Plan'!$A$9:$A$20,0))</x:f>
        <x:v>46274</x:v>
      </x:c>
      <x:c r="J196" s="42" t="n">
        <x:f>INDEX('Sprint Plan'!$E$9:$E$20,MATCH(B196,'Sprint Plan'!$A$9:$A$20,0))</x:f>
        <x:v>46287</x:v>
      </x:c>
      <x:c r="K196" s="28" t="str">
        <x:v>TBD</x:v>
      </x:c>
      <x:c r="L196" s="28" t="str">
        <x:v>Not Started</x:v>
      </x:c>
      <x:c r="M196" s="43" t="n">
        <x:v>0</x:v>
      </x:c>
      <x:c r="N196" s="28" t="n">
        <x:v>1</x:v>
      </x:c>
      <x:c r="O196" s="28" t="str"/>
      <x:c r="P196" s="28" t="str"/>
      <x:c r="Q196" s="28" t="str"/>
      <x:c r="R196" s="28" t="str"/>
      <x:c r="S196" s="28" t="str">
        <x:v>Medium</x:v>
      </x:c>
      <x:c r="T196" s="28" t="str">
        <x:f>IF(L196="Done","Green",IF(L196="Blocked","Red",IF(TODAY()&gt;J196,"Red",IF(M196&gt;=0.6,"Yellow","Green"))))</x:f>
        <x:v>Green</x:v>
      </x:c>
      <x:c r="U196" s="28" t="str"/>
    </x:row>
    <x:row r="197">
      <x:c r="A197" s="28" t="str">
        <x:v>SV-05-0195</x:v>
      </x:c>
      <x:c r="B197" s="28" t="str">
        <x:v>Sprint 5</x:v>
      </x:c>
      <x:c r="C197" s="28" t="str">
        <x:v>Month 3</x:v>
      </x:c>
      <x:c r="D197" s="28" t="str">
        <x:v>Solution Architect</x:v>
      </x:c>
      <x:c r="E197" s="28" t="str">
        <x:v>Metrics</x:v>
      </x:c>
      <x:c r="F197" s="28" t="str">
        <x:v>Desain metrics collection</x:v>
      </x:c>
      <x:c r="G197" s="28" t="str">
        <x:v>Metrics spec</x:v>
      </x:c>
      <x:c r="H197" s="28" t="str">
        <x:v>High</x:v>
      </x:c>
      <x:c r="I197" s="42" t="n">
        <x:f>INDEX('Sprint Plan'!$D$9:$D$20,MATCH(B197,'Sprint Plan'!$A$9:$A$20,0))</x:f>
        <x:v>46274</x:v>
      </x:c>
      <x:c r="J197" s="42" t="n">
        <x:f>INDEX('Sprint Plan'!$E$9:$E$20,MATCH(B197,'Sprint Plan'!$A$9:$A$20,0))</x:f>
        <x:v>46287</x:v>
      </x:c>
      <x:c r="K197" s="28" t="str">
        <x:v>TBD</x:v>
      </x:c>
      <x:c r="L197" s="28" t="str">
        <x:v>Not Started</x:v>
      </x:c>
      <x:c r="M197" s="43" t="n">
        <x:v>0</x:v>
      </x:c>
      <x:c r="N197" s="28" t="n">
        <x:v>1</x:v>
      </x:c>
      <x:c r="O197" s="28" t="str"/>
      <x:c r="P197" s="28" t="str"/>
      <x:c r="Q197" s="28" t="str"/>
      <x:c r="R197" s="28" t="str"/>
      <x:c r="S197" s="28" t="str">
        <x:v>Medium</x:v>
      </x:c>
      <x:c r="T197" s="28" t="str">
        <x:f>IF(L197="Done","Green",IF(L197="Blocked","Red",IF(TODAY()&gt;J197,"Red",IF(M197&gt;=0.6,"Yellow","Green"))))</x:f>
        <x:v>Green</x:v>
      </x:c>
      <x:c r="U197" s="28" t="str"/>
    </x:row>
    <x:row r="198">
      <x:c r="A198" s="28" t="str">
        <x:v>SV-05-0196</x:v>
      </x:c>
      <x:c r="B198" s="28" t="str">
        <x:v>Sprint 5</x:v>
      </x:c>
      <x:c r="C198" s="28" t="str">
        <x:v>Month 3</x:v>
      </x:c>
      <x:c r="D198" s="28" t="str">
        <x:v>Solution Architect</x:v>
      </x:c>
      <x:c r="E198" s="28" t="str">
        <x:v>Retention</x:v>
      </x:c>
      <x:c r="F198" s="28" t="str">
        <x:v>Desain data retention</x:v>
      </x:c>
      <x:c r="G198" s="28" t="str">
        <x:v>Retention rule</x:v>
      </x:c>
      <x:c r="H198" s="28" t="str">
        <x:v>High</x:v>
      </x:c>
      <x:c r="I198" s="42" t="n">
        <x:f>INDEX('Sprint Plan'!$D$9:$D$20,MATCH(B198,'Sprint Plan'!$A$9:$A$20,0))</x:f>
        <x:v>46274</x:v>
      </x:c>
      <x:c r="J198" s="42" t="n">
        <x:f>INDEX('Sprint Plan'!$E$9:$E$20,MATCH(B198,'Sprint Plan'!$A$9:$A$20,0))</x:f>
        <x:v>46287</x:v>
      </x:c>
      <x:c r="K198" s="28" t="str">
        <x:v>TBD</x:v>
      </x:c>
      <x:c r="L198" s="28" t="str">
        <x:v>Not Started</x:v>
      </x:c>
      <x:c r="M198" s="43" t="n">
        <x:v>0</x:v>
      </x:c>
      <x:c r="N198" s="28" t="n">
        <x:v>1</x:v>
      </x:c>
      <x:c r="O198" s="28" t="str"/>
      <x:c r="P198" s="28" t="str"/>
      <x:c r="Q198" s="28" t="str"/>
      <x:c r="R198" s="28" t="str"/>
      <x:c r="S198" s="28" t="str">
        <x:v>Medium</x:v>
      </x:c>
      <x:c r="T198" s="28" t="str">
        <x:f>IF(L198="Done","Green",IF(L198="Blocked","Red",IF(TODAY()&gt;J198,"Red",IF(M198&gt;=0.6,"Yellow","Green"))))</x:f>
        <x:v>Green</x:v>
      </x:c>
      <x:c r="U198" s="28" t="str"/>
    </x:row>
    <x:row r="199">
      <x:c r="A199" s="28" t="str">
        <x:v>SV-05-0197</x:v>
      </x:c>
      <x:c r="B199" s="28" t="str">
        <x:v>Sprint 5</x:v>
      </x:c>
      <x:c r="C199" s="28" t="str">
        <x:v>Month 3</x:v>
      </x:c>
      <x:c r="D199" s="28" t="str">
        <x:v>Solution Architect</x:v>
      </x:c>
      <x:c r="E199" s="28" t="str">
        <x:v>Mapping</x:v>
      </x:c>
      <x:c r="F199" s="28" t="str">
        <x:v>Review Prometheus/OpenNebula metrics</x:v>
      </x:c>
      <x:c r="G199" s="28" t="str">
        <x:v>Metrics mapping</x:v>
      </x:c>
      <x:c r="H199" s="28" t="str">
        <x:v>High</x:v>
      </x:c>
      <x:c r="I199" s="42" t="n">
        <x:f>INDEX('Sprint Plan'!$D$9:$D$20,MATCH(B199,'Sprint Plan'!$A$9:$A$20,0))</x:f>
        <x:v>46274</x:v>
      </x:c>
      <x:c r="J199" s="42" t="n">
        <x:f>INDEX('Sprint Plan'!$E$9:$E$20,MATCH(B199,'Sprint Plan'!$A$9:$A$20,0))</x:f>
        <x:v>46287</x:v>
      </x:c>
      <x:c r="K199" s="28" t="str">
        <x:v>TBD</x:v>
      </x:c>
      <x:c r="L199" s="28" t="str">
        <x:v>Not Started</x:v>
      </x:c>
      <x:c r="M199" s="43" t="n">
        <x:v>0</x:v>
      </x:c>
      <x:c r="N199" s="28" t="n">
        <x:v>1</x:v>
      </x:c>
      <x:c r="O199" s="28" t="str"/>
      <x:c r="P199" s="28" t="str"/>
      <x:c r="Q199" s="28" t="str"/>
      <x:c r="R199" s="28" t="str"/>
      <x:c r="S199" s="28" t="str">
        <x:v>Medium</x:v>
      </x:c>
      <x:c r="T199" s="28" t="str">
        <x:f>IF(L199="Done","Green",IF(L199="Blocked","Red",IF(TODAY()&gt;J199,"Red",IF(M199&gt;=0.6,"Yellow","Green"))))</x:f>
        <x:v>Green</x:v>
      </x:c>
      <x:c r="U199" s="28" t="str"/>
    </x:row>
    <x:row r="200">
      <x:c r="A200" s="28" t="str">
        <x:v>SV-05-0198</x:v>
      </x:c>
      <x:c r="B200" s="28" t="str">
        <x:v>Sprint 5</x:v>
      </x:c>
      <x:c r="C200" s="28" t="str">
        <x:v>Month 3</x:v>
      </x:c>
      <x:c r="D200" s="28" t="str">
        <x:v>Infra/OpenNebula Engineer</x:v>
      </x:c>
      <x:c r="E200" s="28" t="str">
        <x:v>Prometheus</x:v>
      </x:c>
      <x:c r="F200" s="28" t="str">
        <x:v>Setup Prometheus</x:v>
      </x:c>
      <x:c r="G200" s="28" t="str">
        <x:v>Prometheus ready</x:v>
      </x:c>
      <x:c r="H200" s="28" t="str">
        <x:v>High</x:v>
      </x:c>
      <x:c r="I200" s="42" t="n">
        <x:f>INDEX('Sprint Plan'!$D$9:$D$20,MATCH(B200,'Sprint Plan'!$A$9:$A$20,0))</x:f>
        <x:v>46274</x:v>
      </x:c>
      <x:c r="J200" s="42" t="n">
        <x:f>INDEX('Sprint Plan'!$E$9:$E$20,MATCH(B200,'Sprint Plan'!$A$9:$A$20,0))</x:f>
        <x:v>46287</x:v>
      </x:c>
      <x:c r="K200" s="28" t="str">
        <x:v>TBD</x:v>
      </x:c>
      <x:c r="L200" s="28" t="str">
        <x:v>Not Started</x:v>
      </x:c>
      <x:c r="M200" s="43" t="n">
        <x:v>0</x:v>
      </x:c>
      <x:c r="N200" s="28" t="n">
        <x:v>1</x:v>
      </x:c>
      <x:c r="O200" s="28" t="str"/>
      <x:c r="P200" s="28" t="str"/>
      <x:c r="Q200" s="28" t="str"/>
      <x:c r="R200" s="28" t="str"/>
      <x:c r="S200" s="28" t="str">
        <x:v>Medium</x:v>
      </x:c>
      <x:c r="T200" s="28" t="str">
        <x:f>IF(L200="Done","Green",IF(L200="Blocked","Red",IF(TODAY()&gt;J200,"Red",IF(M200&gt;=0.6,"Yellow","Green"))))</x:f>
        <x:v>Green</x:v>
      </x:c>
      <x:c r="U200" s="28" t="str"/>
    </x:row>
    <x:row r="201">
      <x:c r="A201" s="28" t="str">
        <x:v>SV-05-0199</x:v>
      </x:c>
      <x:c r="B201" s="28" t="str">
        <x:v>Sprint 5</x:v>
      </x:c>
      <x:c r="C201" s="28" t="str">
        <x:v>Month 3</x:v>
      </x:c>
      <x:c r="D201" s="28" t="str">
        <x:v>Infra/OpenNebula Engineer</x:v>
      </x:c>
      <x:c r="E201" s="28" t="str">
        <x:v>Exporter</x:v>
      </x:c>
      <x:c r="F201" s="28" t="str">
        <x:v>Setup node exporter</x:v>
      </x:c>
      <x:c r="G201" s="28" t="str">
        <x:v>Node metrics</x:v>
      </x:c>
      <x:c r="H201" s="28" t="str">
        <x:v>High</x:v>
      </x:c>
      <x:c r="I201" s="42" t="n">
        <x:f>INDEX('Sprint Plan'!$D$9:$D$20,MATCH(B201,'Sprint Plan'!$A$9:$A$20,0))</x:f>
        <x:v>46274</x:v>
      </x:c>
      <x:c r="J201" s="42" t="n">
        <x:f>INDEX('Sprint Plan'!$E$9:$E$20,MATCH(B201,'Sprint Plan'!$A$9:$A$20,0))</x:f>
        <x:v>46287</x:v>
      </x:c>
      <x:c r="K201" s="28" t="str">
        <x:v>TBD</x:v>
      </x:c>
      <x:c r="L201" s="28" t="str">
        <x:v>Not Started</x:v>
      </x:c>
      <x:c r="M201" s="43" t="n">
        <x:v>0</x:v>
      </x:c>
      <x:c r="N201" s="28" t="n">
        <x:v>1</x:v>
      </x:c>
      <x:c r="O201" s="28" t="str"/>
      <x:c r="P201" s="28" t="str"/>
      <x:c r="Q201" s="28" t="str"/>
      <x:c r="R201" s="28" t="str"/>
      <x:c r="S201" s="28" t="str">
        <x:v>Medium</x:v>
      </x:c>
      <x:c r="T201" s="28" t="str">
        <x:f>IF(L201="Done","Green",IF(L201="Blocked","Red",IF(TODAY()&gt;J201,"Red",IF(M201&gt;=0.6,"Yellow","Green"))))</x:f>
        <x:v>Green</x:v>
      </x:c>
      <x:c r="U201" s="28" t="str"/>
    </x:row>
    <x:row r="202">
      <x:c r="A202" s="28" t="str">
        <x:v>SV-05-0200</x:v>
      </x:c>
      <x:c r="B202" s="28" t="str">
        <x:v>Sprint 5</x:v>
      </x:c>
      <x:c r="C202" s="28" t="str">
        <x:v>Month 3</x:v>
      </x:c>
      <x:c r="D202" s="28" t="str">
        <x:v>Infra/OpenNebula Engineer</x:v>
      </x:c>
      <x:c r="E202" s="28" t="str">
        <x:v>OpenNebula Metrics</x:v>
      </x:c>
      <x:c r="F202" s="28" t="str">
        <x:v>Setup OpenNebula metrics access</x:v>
      </x:c>
      <x:c r="G202" s="28" t="str">
        <x:v>Engine metrics</x:v>
      </x:c>
      <x:c r="H202" s="28" t="str">
        <x:v>High</x:v>
      </x:c>
      <x:c r="I202" s="42" t="n">
        <x:f>INDEX('Sprint Plan'!$D$9:$D$20,MATCH(B202,'Sprint Plan'!$A$9:$A$20,0))</x:f>
        <x:v>46274</x:v>
      </x:c>
      <x:c r="J202" s="42" t="n">
        <x:f>INDEX('Sprint Plan'!$E$9:$E$20,MATCH(B202,'Sprint Plan'!$A$9:$A$20,0))</x:f>
        <x:v>46287</x:v>
      </x:c>
      <x:c r="K202" s="28" t="str">
        <x:v>TBD</x:v>
      </x:c>
      <x:c r="L202" s="28" t="str">
        <x:v>Not Started</x:v>
      </x:c>
      <x:c r="M202" s="43" t="n">
        <x:v>0</x:v>
      </x:c>
      <x:c r="N202" s="28" t="n">
        <x:v>1</x:v>
      </x:c>
      <x:c r="O202" s="28" t="str"/>
      <x:c r="P202" s="28" t="str"/>
      <x:c r="Q202" s="28" t="str"/>
      <x:c r="R202" s="28" t="str"/>
      <x:c r="S202" s="28" t="str">
        <x:v>Medium</x:v>
      </x:c>
      <x:c r="T202" s="28" t="str">
        <x:f>IF(L202="Done","Green",IF(L202="Blocked","Red",IF(TODAY()&gt;J202,"Red",IF(M202&gt;=0.6,"Yellow","Green"))))</x:f>
        <x:v>Green</x:v>
      </x:c>
      <x:c r="U202" s="28" t="str"/>
    </x:row>
    <x:row r="203">
      <x:c r="A203" s="28" t="str">
        <x:v>SV-05-0201</x:v>
      </x:c>
      <x:c r="B203" s="28" t="str">
        <x:v>Sprint 5</x:v>
      </x:c>
      <x:c r="C203" s="28" t="str">
        <x:v>Month 3</x:v>
      </x:c>
      <x:c r="D203" s="28" t="str">
        <x:v>Infra/OpenNebula Engineer</x:v>
      </x:c>
      <x:c r="E203" s="28" t="str">
        <x:v>Alert</x:v>
      </x:c>
      <x:c r="F203" s="28" t="str">
        <x:v>Setup basic alert rule</x:v>
      </x:c>
      <x:c r="G203" s="28" t="str">
        <x:v>Alert rule</x:v>
      </x:c>
      <x:c r="H203" s="28" t="str">
        <x:v>High</x:v>
      </x:c>
      <x:c r="I203" s="42" t="n">
        <x:f>INDEX('Sprint Plan'!$D$9:$D$20,MATCH(B203,'Sprint Plan'!$A$9:$A$20,0))</x:f>
        <x:v>46274</x:v>
      </x:c>
      <x:c r="J203" s="42" t="n">
        <x:f>INDEX('Sprint Plan'!$E$9:$E$20,MATCH(B203,'Sprint Plan'!$A$9:$A$20,0))</x:f>
        <x:v>46287</x:v>
      </x:c>
      <x:c r="K203" s="28" t="str">
        <x:v>TBD</x:v>
      </x:c>
      <x:c r="L203" s="28" t="str">
        <x:v>Not Started</x:v>
      </x:c>
      <x:c r="M203" s="43" t="n">
        <x:v>0</x:v>
      </x:c>
      <x:c r="N203" s="28" t="n">
        <x:v>1</x:v>
      </x:c>
      <x:c r="O203" s="28" t="str"/>
      <x:c r="P203" s="28" t="str"/>
      <x:c r="Q203" s="28" t="str"/>
      <x:c r="R203" s="28" t="str"/>
      <x:c r="S203" s="28" t="str">
        <x:v>Medium</x:v>
      </x:c>
      <x:c r="T203" s="28" t="str">
        <x:f>IF(L203="Done","Green",IF(L203="Blocked","Red",IF(TODAY()&gt;J203,"Red",IF(M203&gt;=0.6,"Yellow","Green"))))</x:f>
        <x:v>Green</x:v>
      </x:c>
      <x:c r="U203" s="28" t="str"/>
    </x:row>
    <x:row r="204">
      <x:c r="A204" s="28" t="str">
        <x:v>SV-05-0202</x:v>
      </x:c>
      <x:c r="B204" s="28" t="str">
        <x:v>Sprint 5</x:v>
      </x:c>
      <x:c r="C204" s="28" t="str">
        <x:v>Month 3</x:v>
      </x:c>
      <x:c r="D204" s="28" t="str">
        <x:v>Infra/OpenNebula Engineer</x:v>
      </x:c>
      <x:c r="E204" s="28" t="str">
        <x:v>Test</x:v>
      </x:c>
      <x:c r="F204" s="28" t="str">
        <x:v>Test resource monitoring</x:v>
      </x:c>
      <x:c r="G204" s="28" t="str">
        <x:v>Monitoring test</x:v>
      </x:c>
      <x:c r="H204" s="28" t="str">
        <x:v>High</x:v>
      </x:c>
      <x:c r="I204" s="42" t="n">
        <x:f>INDEX('Sprint Plan'!$D$9:$D$20,MATCH(B204,'Sprint Plan'!$A$9:$A$20,0))</x:f>
        <x:v>46274</x:v>
      </x:c>
      <x:c r="J204" s="42" t="n">
        <x:f>INDEX('Sprint Plan'!$E$9:$E$20,MATCH(B204,'Sprint Plan'!$A$9:$A$20,0))</x:f>
        <x:v>46287</x:v>
      </x:c>
      <x:c r="K204" s="28" t="str">
        <x:v>TBD</x:v>
      </x:c>
      <x:c r="L204" s="28" t="str">
        <x:v>Not Started</x:v>
      </x:c>
      <x:c r="M204" s="43" t="n">
        <x:v>0</x:v>
      </x:c>
      <x:c r="N204" s="28" t="n">
        <x:v>1</x:v>
      </x:c>
      <x:c r="O204" s="28" t="str"/>
      <x:c r="P204" s="28" t="str"/>
      <x:c r="Q204" s="28" t="str"/>
      <x:c r="R204" s="28" t="str"/>
      <x:c r="S204" s="28" t="str">
        <x:v>Medium</x:v>
      </x:c>
      <x:c r="T204" s="28" t="str">
        <x:f>IF(L204="Done","Green",IF(L204="Blocked","Red",IF(TODAY()&gt;J204,"Red",IF(M204&gt;=0.6,"Yellow","Green"))))</x:f>
        <x:v>Green</x:v>
      </x:c>
      <x:c r="U204" s="28" t="str"/>
    </x:row>
    <x:row r="205">
      <x:c r="A205" s="28" t="str">
        <x:v>SV-05-0203</x:v>
      </x:c>
      <x:c r="B205" s="28" t="str">
        <x:v>Sprint 5</x:v>
      </x:c>
      <x:c r="C205" s="28" t="str">
        <x:v>Month 3</x:v>
      </x:c>
      <x:c r="D205" s="28" t="str">
        <x:v>Backend Engineer</x:v>
      </x:c>
      <x:c r="E205" s="28" t="str">
        <x:v>Metrics API</x:v>
      </x:c>
      <x:c r="F205" s="28" t="str">
        <x:v>Implement metrics ingestion/query</x:v>
      </x:c>
      <x:c r="G205" s="28" t="str">
        <x:v>Metrics API</x:v>
      </x:c>
      <x:c r="H205" s="28" t="str">
        <x:v>High</x:v>
      </x:c>
      <x:c r="I205" s="42" t="n">
        <x:f>INDEX('Sprint Plan'!$D$9:$D$20,MATCH(B205,'Sprint Plan'!$A$9:$A$20,0))</x:f>
        <x:v>46274</x:v>
      </x:c>
      <x:c r="J205" s="42" t="n">
        <x:f>INDEX('Sprint Plan'!$E$9:$E$20,MATCH(B205,'Sprint Plan'!$A$9:$A$20,0))</x:f>
        <x:v>46287</x:v>
      </x:c>
      <x:c r="K205" s="28" t="str">
        <x:v>TBD</x:v>
      </x:c>
      <x:c r="L205" s="28" t="str">
        <x:v>Not Started</x:v>
      </x:c>
      <x:c r="M205" s="43" t="n">
        <x:v>0</x:v>
      </x:c>
      <x:c r="N205" s="28" t="n">
        <x:v>1</x:v>
      </x:c>
      <x:c r="O205" s="28" t="str"/>
      <x:c r="P205" s="28" t="str"/>
      <x:c r="Q205" s="28" t="str"/>
      <x:c r="R205" s="28" t="str"/>
      <x:c r="S205" s="28" t="str">
        <x:v>Medium</x:v>
      </x:c>
      <x:c r="T205" s="28" t="str">
        <x:f>IF(L205="Done","Green",IF(L205="Blocked","Red",IF(TODAY()&gt;J205,"Red",IF(M205&gt;=0.6,"Yellow","Green"))))</x:f>
        <x:v>Green</x:v>
      </x:c>
      <x:c r="U205" s="28" t="str"/>
    </x:row>
    <x:row r="206">
      <x:c r="A206" s="28" t="str">
        <x:v>SV-05-0204</x:v>
      </x:c>
      <x:c r="B206" s="28" t="str">
        <x:v>Sprint 5</x:v>
      </x:c>
      <x:c r="C206" s="28" t="str">
        <x:v>Month 3</x:v>
      </x:c>
      <x:c r="D206" s="28" t="str">
        <x:v>Backend Engineer</x:v>
      </x:c>
      <x:c r="E206" s="28" t="str">
        <x:v>Host Metrics</x:v>
      </x:c>
      <x:c r="F206" s="28" t="str">
        <x:v>Implement host utilization API</x:v>
      </x:c>
      <x:c r="G206" s="28" t="str">
        <x:v>Host metrics</x:v>
      </x:c>
      <x:c r="H206" s="28" t="str">
        <x:v>High</x:v>
      </x:c>
      <x:c r="I206" s="42" t="n">
        <x:f>INDEX('Sprint Plan'!$D$9:$D$20,MATCH(B206,'Sprint Plan'!$A$9:$A$20,0))</x:f>
        <x:v>46274</x:v>
      </x:c>
      <x:c r="J206" s="42" t="n">
        <x:f>INDEX('Sprint Plan'!$E$9:$E$20,MATCH(B206,'Sprint Plan'!$A$9:$A$20,0))</x:f>
        <x:v>46287</x:v>
      </x:c>
      <x:c r="K206" s="28" t="str">
        <x:v>TBD</x:v>
      </x:c>
      <x:c r="L206" s="28" t="str">
        <x:v>Not Started</x:v>
      </x:c>
      <x:c r="M206" s="43" t="n">
        <x:v>0</x:v>
      </x:c>
      <x:c r="N206" s="28" t="n">
        <x:v>1</x:v>
      </x:c>
      <x:c r="O206" s="28" t="str"/>
      <x:c r="P206" s="28" t="str"/>
      <x:c r="Q206" s="28" t="str"/>
      <x:c r="R206" s="28" t="str"/>
      <x:c r="S206" s="28" t="str">
        <x:v>Medium</x:v>
      </x:c>
      <x:c r="T206" s="28" t="str">
        <x:f>IF(L206="Done","Green",IF(L206="Blocked","Red",IF(TODAY()&gt;J206,"Red",IF(M206&gt;=0.6,"Yellow","Green"))))</x:f>
        <x:v>Green</x:v>
      </x:c>
      <x:c r="U206" s="28" t="str"/>
    </x:row>
    <x:row r="207">
      <x:c r="A207" s="28" t="str">
        <x:v>SV-05-0205</x:v>
      </x:c>
      <x:c r="B207" s="28" t="str">
        <x:v>Sprint 5</x:v>
      </x:c>
      <x:c r="C207" s="28" t="str">
        <x:v>Month 3</x:v>
      </x:c>
      <x:c r="D207" s="28" t="str">
        <x:v>Backend Engineer</x:v>
      </x:c>
      <x:c r="E207" s="28" t="str">
        <x:v>VM Metrics</x:v>
      </x:c>
      <x:c r="F207" s="28" t="str">
        <x:v>Implement VM utilization API</x:v>
      </x:c>
      <x:c r="G207" s="28" t="str">
        <x:v>VM metrics</x:v>
      </x:c>
      <x:c r="H207" s="28" t="str">
        <x:v>High</x:v>
      </x:c>
      <x:c r="I207" s="42" t="n">
        <x:f>INDEX('Sprint Plan'!$D$9:$D$20,MATCH(B207,'Sprint Plan'!$A$9:$A$20,0))</x:f>
        <x:v>46274</x:v>
      </x:c>
      <x:c r="J207" s="42" t="n">
        <x:f>INDEX('Sprint Plan'!$E$9:$E$20,MATCH(B207,'Sprint Plan'!$A$9:$A$20,0))</x:f>
        <x:v>46287</x:v>
      </x:c>
      <x:c r="K207" s="28" t="str">
        <x:v>TBD</x:v>
      </x:c>
      <x:c r="L207" s="28" t="str">
        <x:v>Not Started</x:v>
      </x:c>
      <x:c r="M207" s="43" t="n">
        <x:v>0</x:v>
      </x:c>
      <x:c r="N207" s="28" t="n">
        <x:v>1</x:v>
      </x:c>
      <x:c r="O207" s="28" t="str"/>
      <x:c r="P207" s="28" t="str"/>
      <x:c r="Q207" s="28" t="str"/>
      <x:c r="R207" s="28" t="str"/>
      <x:c r="S207" s="28" t="str">
        <x:v>Medium</x:v>
      </x:c>
      <x:c r="T207" s="28" t="str">
        <x:f>IF(L207="Done","Green",IF(L207="Blocked","Red",IF(TODAY()&gt;J207,"Red",IF(M207&gt;=0.6,"Yellow","Green"))))</x:f>
        <x:v>Green</x:v>
      </x:c>
      <x:c r="U207" s="28" t="str"/>
    </x:row>
    <x:row r="208">
      <x:c r="A208" s="28" t="str">
        <x:v>SV-05-0206</x:v>
      </x:c>
      <x:c r="B208" s="28" t="str">
        <x:v>Sprint 5</x:v>
      </x:c>
      <x:c r="C208" s="28" t="str">
        <x:v>Month 3</x:v>
      </x:c>
      <x:c r="D208" s="28" t="str">
        <x:v>Backend Engineer</x:v>
      </x:c>
      <x:c r="E208" s="28" t="str">
        <x:v>Health</x:v>
      </x:c>
      <x:c r="F208" s="28" t="str">
        <x:v>Implement health score API</x:v>
      </x:c>
      <x:c r="G208" s="28" t="str">
        <x:v>Health score</x:v>
      </x:c>
      <x:c r="H208" s="28" t="str">
        <x:v>High</x:v>
      </x:c>
      <x:c r="I208" s="42" t="n">
        <x:f>INDEX('Sprint Plan'!$D$9:$D$20,MATCH(B208,'Sprint Plan'!$A$9:$A$20,0))</x:f>
        <x:v>46274</x:v>
      </x:c>
      <x:c r="J208" s="42" t="n">
        <x:f>INDEX('Sprint Plan'!$E$9:$E$20,MATCH(B208,'Sprint Plan'!$A$9:$A$20,0))</x:f>
        <x:v>46287</x:v>
      </x:c>
      <x:c r="K208" s="28" t="str">
        <x:v>TBD</x:v>
      </x:c>
      <x:c r="L208" s="28" t="str">
        <x:v>Not Started</x:v>
      </x:c>
      <x:c r="M208" s="43" t="n">
        <x:v>0</x:v>
      </x:c>
      <x:c r="N208" s="28" t="n">
        <x:v>1</x:v>
      </x:c>
      <x:c r="O208" s="28" t="str"/>
      <x:c r="P208" s="28" t="str"/>
      <x:c r="Q208" s="28" t="str"/>
      <x:c r="R208" s="28" t="str"/>
      <x:c r="S208" s="28" t="str">
        <x:v>Medium</x:v>
      </x:c>
      <x:c r="T208" s="28" t="str">
        <x:f>IF(L208="Done","Green",IF(L208="Blocked","Red",IF(TODAY()&gt;J208,"Red",IF(M208&gt;=0.6,"Yellow","Green"))))</x:f>
        <x:v>Green</x:v>
      </x:c>
      <x:c r="U208" s="28" t="str"/>
    </x:row>
    <x:row r="209">
      <x:c r="A209" s="28" t="str">
        <x:v>SV-05-0207</x:v>
      </x:c>
      <x:c r="B209" s="28" t="str">
        <x:v>Sprint 5</x:v>
      </x:c>
      <x:c r="C209" s="28" t="str">
        <x:v>Month 3</x:v>
      </x:c>
      <x:c r="D209" s="28" t="str">
        <x:v>Backend Engineer</x:v>
      </x:c>
      <x:c r="E209" s="28" t="str">
        <x:v>Capacity</x:v>
      </x:c>
      <x:c r="F209" s="28" t="str">
        <x:v>Implement alert API dan capacity estimate</x:v>
      </x:c>
      <x:c r="G209" s="28" t="str">
        <x:v>Alert/capacity API</x:v>
      </x:c>
      <x:c r="H209" s="28" t="str">
        <x:v>High</x:v>
      </x:c>
      <x:c r="I209" s="42" t="n">
        <x:f>INDEX('Sprint Plan'!$D$9:$D$20,MATCH(B209,'Sprint Plan'!$A$9:$A$20,0))</x:f>
        <x:v>46274</x:v>
      </x:c>
      <x:c r="J209" s="42" t="n">
        <x:f>INDEX('Sprint Plan'!$E$9:$E$20,MATCH(B209,'Sprint Plan'!$A$9:$A$20,0))</x:f>
        <x:v>46287</x:v>
      </x:c>
      <x:c r="K209" s="28" t="str">
        <x:v>TBD</x:v>
      </x:c>
      <x:c r="L209" s="28" t="str">
        <x:v>Not Started</x:v>
      </x:c>
      <x:c r="M209" s="43" t="n">
        <x:v>0</x:v>
      </x:c>
      <x:c r="N209" s="28" t="n">
        <x:v>1</x:v>
      </x:c>
      <x:c r="O209" s="28" t="str"/>
      <x:c r="P209" s="28" t="str"/>
      <x:c r="Q209" s="28" t="str"/>
      <x:c r="R209" s="28" t="str"/>
      <x:c r="S209" s="28" t="str">
        <x:v>Medium</x:v>
      </x:c>
      <x:c r="T209" s="28" t="str">
        <x:f>IF(L209="Done","Green",IF(L209="Blocked","Red",IF(TODAY()&gt;J209,"Red",IF(M209&gt;=0.6,"Yellow","Green"))))</x:f>
        <x:v>Green</x:v>
      </x:c>
      <x:c r="U209" s="28" t="str"/>
    </x:row>
    <x:row r="210">
      <x:c r="A210" s="28" t="str">
        <x:v>SV-05-0208</x:v>
      </x:c>
      <x:c r="B210" s="28" t="str">
        <x:v>Sprint 5</x:v>
      </x:c>
      <x:c r="C210" s="28" t="str">
        <x:v>Month 3</x:v>
      </x:c>
      <x:c r="D210" s="28" t="str">
        <x:v>Frontend Engineer</x:v>
      </x:c>
      <x:c r="E210" s="28" t="str">
        <x:v>Monitoring</x:v>
      </x:c>
      <x:c r="F210" s="28" t="str">
        <x:v>Build monitoring dashboard</x:v>
      </x:c>
      <x:c r="G210" s="28" t="str">
        <x:v>Monitoring UI</x:v>
      </x:c>
      <x:c r="H210" s="28" t="str">
        <x:v>High</x:v>
      </x:c>
      <x:c r="I210" s="42" t="n">
        <x:f>INDEX('Sprint Plan'!$D$9:$D$20,MATCH(B210,'Sprint Plan'!$A$9:$A$20,0))</x:f>
        <x:v>46274</x:v>
      </x:c>
      <x:c r="J210" s="42" t="n">
        <x:f>INDEX('Sprint Plan'!$E$9:$E$20,MATCH(B210,'Sprint Plan'!$A$9:$A$20,0))</x:f>
        <x:v>46287</x:v>
      </x:c>
      <x:c r="K210" s="28" t="str">
        <x:v>TBD</x:v>
      </x:c>
      <x:c r="L210" s="28" t="str">
        <x:v>Not Started</x:v>
      </x:c>
      <x:c r="M210" s="43" t="n">
        <x:v>0</x:v>
      </x:c>
      <x:c r="N210" s="28" t="n">
        <x:v>1</x:v>
      </x:c>
      <x:c r="O210" s="28" t="str"/>
      <x:c r="P210" s="28" t="str"/>
      <x:c r="Q210" s="28" t="str"/>
      <x:c r="R210" s="28" t="str"/>
      <x:c r="S210" s="28" t="str">
        <x:v>Medium</x:v>
      </x:c>
      <x:c r="T210" s="28" t="str">
        <x:f>IF(L210="Done","Green",IF(L210="Blocked","Red",IF(TODAY()&gt;J210,"Red",IF(M210&gt;=0.6,"Yellow","Green"))))</x:f>
        <x:v>Green</x:v>
      </x:c>
      <x:c r="U210" s="28" t="str"/>
    </x:row>
    <x:row r="211">
      <x:c r="A211" s="28" t="str">
        <x:v>SV-05-0209</x:v>
      </x:c>
      <x:c r="B211" s="28" t="str">
        <x:v>Sprint 5</x:v>
      </x:c>
      <x:c r="C211" s="28" t="str">
        <x:v>Month 3</x:v>
      </x:c>
      <x:c r="D211" s="28" t="str">
        <x:v>Frontend Engineer</x:v>
      </x:c>
      <x:c r="E211" s="28" t="str">
        <x:v>Host Chart</x:v>
      </x:c>
      <x:c r="F211" s="28" t="str">
        <x:v>Build host utilization chart</x:v>
      </x:c>
      <x:c r="G211" s="28" t="str">
        <x:v>Host chart</x:v>
      </x:c>
      <x:c r="H211" s="28" t="str">
        <x:v>High</x:v>
      </x:c>
      <x:c r="I211" s="42" t="n">
        <x:f>INDEX('Sprint Plan'!$D$9:$D$20,MATCH(B211,'Sprint Plan'!$A$9:$A$20,0))</x:f>
        <x:v>46274</x:v>
      </x:c>
      <x:c r="J211" s="42" t="n">
        <x:f>INDEX('Sprint Plan'!$E$9:$E$20,MATCH(B211,'Sprint Plan'!$A$9:$A$20,0))</x:f>
        <x:v>46287</x:v>
      </x:c>
      <x:c r="K211" s="28" t="str">
        <x:v>TBD</x:v>
      </x:c>
      <x:c r="L211" s="28" t="str">
        <x:v>Not Started</x:v>
      </x:c>
      <x:c r="M211" s="43" t="n">
        <x:v>0</x:v>
      </x:c>
      <x:c r="N211" s="28" t="n">
        <x:v>1</x:v>
      </x:c>
      <x:c r="O211" s="28" t="str"/>
      <x:c r="P211" s="28" t="str"/>
      <x:c r="Q211" s="28" t="str"/>
      <x:c r="R211" s="28" t="str"/>
      <x:c r="S211" s="28" t="str">
        <x:v>Medium</x:v>
      </x:c>
      <x:c r="T211" s="28" t="str">
        <x:f>IF(L211="Done","Green",IF(L211="Blocked","Red",IF(TODAY()&gt;J211,"Red",IF(M211&gt;=0.6,"Yellow","Green"))))</x:f>
        <x:v>Green</x:v>
      </x:c>
      <x:c r="U211" s="28" t="str"/>
    </x:row>
    <x:row r="212">
      <x:c r="A212" s="28" t="str">
        <x:v>SV-05-0210</x:v>
      </x:c>
      <x:c r="B212" s="28" t="str">
        <x:v>Sprint 5</x:v>
      </x:c>
      <x:c r="C212" s="28" t="str">
        <x:v>Month 3</x:v>
      </x:c>
      <x:c r="D212" s="28" t="str">
        <x:v>Frontend Engineer</x:v>
      </x:c>
      <x:c r="E212" s="28" t="str">
        <x:v>VM Chart</x:v>
      </x:c>
      <x:c r="F212" s="28" t="str">
        <x:v>Build VM utilization chart</x:v>
      </x:c>
      <x:c r="G212" s="28" t="str">
        <x:v>VM chart</x:v>
      </x:c>
      <x:c r="H212" s="28" t="str">
        <x:v>High</x:v>
      </x:c>
      <x:c r="I212" s="42" t="n">
        <x:f>INDEX('Sprint Plan'!$D$9:$D$20,MATCH(B212,'Sprint Plan'!$A$9:$A$20,0))</x:f>
        <x:v>46274</x:v>
      </x:c>
      <x:c r="J212" s="42" t="n">
        <x:f>INDEX('Sprint Plan'!$E$9:$E$20,MATCH(B212,'Sprint Plan'!$A$9:$A$20,0))</x:f>
        <x:v>46287</x:v>
      </x:c>
      <x:c r="K212" s="28" t="str">
        <x:v>TBD</x:v>
      </x:c>
      <x:c r="L212" s="28" t="str">
        <x:v>Not Started</x:v>
      </x:c>
      <x:c r="M212" s="43" t="n">
        <x:v>0</x:v>
      </x:c>
      <x:c r="N212" s="28" t="n">
        <x:v>1</x:v>
      </x:c>
      <x:c r="O212" s="28" t="str"/>
      <x:c r="P212" s="28" t="str"/>
      <x:c r="Q212" s="28" t="str"/>
      <x:c r="R212" s="28" t="str"/>
      <x:c r="S212" s="28" t="str">
        <x:v>Medium</x:v>
      </x:c>
      <x:c r="T212" s="28" t="str">
        <x:f>IF(L212="Done","Green",IF(L212="Blocked","Red",IF(TODAY()&gt;J212,"Red",IF(M212&gt;=0.6,"Yellow","Green"))))</x:f>
        <x:v>Green</x:v>
      </x:c>
      <x:c r="U212" s="28" t="str"/>
    </x:row>
    <x:row r="213">
      <x:c r="A213" s="28" t="str">
        <x:v>SV-05-0211</x:v>
      </x:c>
      <x:c r="B213" s="28" t="str">
        <x:v>Sprint 5</x:v>
      </x:c>
      <x:c r="C213" s="28" t="str">
        <x:v>Month 3</x:v>
      </x:c>
      <x:c r="D213" s="28" t="str">
        <x:v>Frontend Engineer</x:v>
      </x:c>
      <x:c r="E213" s="28" t="str">
        <x:v>Alert UI</x:v>
      </x:c>
      <x:c r="F213" s="28" t="str">
        <x:v>Build alert list</x:v>
      </x:c>
      <x:c r="G213" s="28" t="str">
        <x:v>Alert UI</x:v>
      </x:c>
      <x:c r="H213" s="28" t="str">
        <x:v>High</x:v>
      </x:c>
      <x:c r="I213" s="42" t="n">
        <x:f>INDEX('Sprint Plan'!$D$9:$D$20,MATCH(B213,'Sprint Plan'!$A$9:$A$20,0))</x:f>
        <x:v>46274</x:v>
      </x:c>
      <x:c r="J213" s="42" t="n">
        <x:f>INDEX('Sprint Plan'!$E$9:$E$20,MATCH(B213,'Sprint Plan'!$A$9:$A$20,0))</x:f>
        <x:v>46287</x:v>
      </x:c>
      <x:c r="K213" s="28" t="str">
        <x:v>TBD</x:v>
      </x:c>
      <x:c r="L213" s="28" t="str">
        <x:v>Not Started</x:v>
      </x:c>
      <x:c r="M213" s="43" t="n">
        <x:v>0</x:v>
      </x:c>
      <x:c r="N213" s="28" t="n">
        <x:v>1</x:v>
      </x:c>
      <x:c r="O213" s="28" t="str"/>
      <x:c r="P213" s="28" t="str"/>
      <x:c r="Q213" s="28" t="str"/>
      <x:c r="R213" s="28" t="str"/>
      <x:c r="S213" s="28" t="str">
        <x:v>Medium</x:v>
      </x:c>
      <x:c r="T213" s="28" t="str">
        <x:f>IF(L213="Done","Green",IF(L213="Blocked","Red",IF(TODAY()&gt;J213,"Red",IF(M213&gt;=0.6,"Yellow","Green"))))</x:f>
        <x:v>Green</x:v>
      </x:c>
      <x:c r="U213" s="28" t="str"/>
    </x:row>
    <x:row r="214">
      <x:c r="A214" s="28" t="str">
        <x:v>SV-05-0212</x:v>
      </x:c>
      <x:c r="B214" s="28" t="str">
        <x:v>Sprint 5</x:v>
      </x:c>
      <x:c r="C214" s="28" t="str">
        <x:v>Month 3</x:v>
      </x:c>
      <x:c r="D214" s="28" t="str">
        <x:v>Frontend Engineer</x:v>
      </x:c>
      <x:c r="E214" s="28" t="str">
        <x:v>Health Card</x:v>
      </x:c>
      <x:c r="F214" s="28" t="str">
        <x:v>Build health score and capacity panel</x:v>
      </x:c>
      <x:c r="G214" s="28" t="str">
        <x:v>Health/capacity panel</x:v>
      </x:c>
      <x:c r="H214" s="28" t="str">
        <x:v>High</x:v>
      </x:c>
      <x:c r="I214" s="42" t="n">
        <x:f>INDEX('Sprint Plan'!$D$9:$D$20,MATCH(B214,'Sprint Plan'!$A$9:$A$20,0))</x:f>
        <x:v>46274</x:v>
      </x:c>
      <x:c r="J214" s="42" t="n">
        <x:f>INDEX('Sprint Plan'!$E$9:$E$20,MATCH(B214,'Sprint Plan'!$A$9:$A$20,0))</x:f>
        <x:v>46287</x:v>
      </x:c>
      <x:c r="K214" s="28" t="str">
        <x:v>TBD</x:v>
      </x:c>
      <x:c r="L214" s="28" t="str">
        <x:v>Not Started</x:v>
      </x:c>
      <x:c r="M214" s="43" t="n">
        <x:v>0</x:v>
      </x:c>
      <x:c r="N214" s="28" t="n">
        <x:v>1</x:v>
      </x:c>
      <x:c r="O214" s="28" t="str"/>
      <x:c r="P214" s="28" t="str"/>
      <x:c r="Q214" s="28" t="str"/>
      <x:c r="R214" s="28" t="str"/>
      <x:c r="S214" s="28" t="str">
        <x:v>Medium</x:v>
      </x:c>
      <x:c r="T214" s="28" t="str">
        <x:f>IF(L214="Done","Green",IF(L214="Blocked","Red",IF(TODAY()&gt;J214,"Red",IF(M214&gt;=0.6,"Yellow","Green"))))</x:f>
        <x:v>Green</x:v>
      </x:c>
      <x:c r="U214" s="28" t="str"/>
    </x:row>
    <x:row r="215">
      <x:c r="A215" s="28" t="str">
        <x:v>SV-05-0213</x:v>
      </x:c>
      <x:c r="B215" s="28" t="str">
        <x:v>Sprint 5</x:v>
      </x:c>
      <x:c r="C215" s="28" t="str">
        <x:v>Month 3</x:v>
      </x:c>
      <x:c r="D215" s="28" t="str">
        <x:v>QA/Tester</x:v>
      </x:c>
      <x:c r="E215" s="28" t="str">
        <x:v>Accuracy</x:v>
      </x:c>
      <x:c r="F215" s="28" t="str">
        <x:v>Test metrics accuracy</x:v>
      </x:c>
      <x:c r="G215" s="28" t="str">
        <x:v>Metrics test</x:v>
      </x:c>
      <x:c r="H215" s="28" t="str">
        <x:v>High</x:v>
      </x:c>
      <x:c r="I215" s="42" t="n">
        <x:f>INDEX('Sprint Plan'!$D$9:$D$20,MATCH(B215,'Sprint Plan'!$A$9:$A$20,0))</x:f>
        <x:v>46274</x:v>
      </x:c>
      <x:c r="J215" s="42" t="n">
        <x:f>INDEX('Sprint Plan'!$E$9:$E$20,MATCH(B215,'Sprint Plan'!$A$9:$A$20,0))</x:f>
        <x:v>46287</x:v>
      </x:c>
      <x:c r="K215" s="28" t="str">
        <x:v>TBD</x:v>
      </x:c>
      <x:c r="L215" s="28" t="str">
        <x:v>Not Started</x:v>
      </x:c>
      <x:c r="M215" s="43" t="n">
        <x:v>0</x:v>
      </x:c>
      <x:c r="N215" s="28" t="n">
        <x:v>1</x:v>
      </x:c>
      <x:c r="O215" s="28" t="str"/>
      <x:c r="P215" s="28" t="str"/>
      <x:c r="Q215" s="28" t="str"/>
      <x:c r="R215" s="28" t="str"/>
      <x:c r="S215" s="28" t="str">
        <x:v>Medium</x:v>
      </x:c>
      <x:c r="T215" s="28" t="str">
        <x:f>IF(L215="Done","Green",IF(L215="Blocked","Red",IF(TODAY()&gt;J215,"Red",IF(M215&gt;=0.6,"Yellow","Green"))))</x:f>
        <x:v>Green</x:v>
      </x:c>
      <x:c r="U215" s="28" t="str"/>
    </x:row>
    <x:row r="216">
      <x:c r="A216" s="28" t="str">
        <x:v>SV-05-0214</x:v>
      </x:c>
      <x:c r="B216" s="28" t="str">
        <x:v>Sprint 5</x:v>
      </x:c>
      <x:c r="C216" s="28" t="str">
        <x:v>Month 3</x:v>
      </x:c>
      <x:c r="D216" s="28" t="str">
        <x:v>QA/Tester</x:v>
      </x:c>
      <x:c r="E216" s="28" t="str">
        <x:v>Threshold</x:v>
      </x:c>
      <x:c r="F216" s="28" t="str">
        <x:v>Test alert threshold</x:v>
      </x:c>
      <x:c r="G216" s="28" t="str">
        <x:v>Alert test</x:v>
      </x:c>
      <x:c r="H216" s="28" t="str">
        <x:v>High</x:v>
      </x:c>
      <x:c r="I216" s="42" t="n">
        <x:f>INDEX('Sprint Plan'!$D$9:$D$20,MATCH(B216,'Sprint Plan'!$A$9:$A$20,0))</x:f>
        <x:v>46274</x:v>
      </x:c>
      <x:c r="J216" s="42" t="n">
        <x:f>INDEX('Sprint Plan'!$E$9:$E$20,MATCH(B216,'Sprint Plan'!$A$9:$A$20,0))</x:f>
        <x:v>46287</x:v>
      </x:c>
      <x:c r="K216" s="28" t="str">
        <x:v>TBD</x:v>
      </x:c>
      <x:c r="L216" s="28" t="str">
        <x:v>Not Started</x:v>
      </x:c>
      <x:c r="M216" s="43" t="n">
        <x:v>0</x:v>
      </x:c>
      <x:c r="N216" s="28" t="n">
        <x:v>1</x:v>
      </x:c>
      <x:c r="O216" s="28" t="str"/>
      <x:c r="P216" s="28" t="str"/>
      <x:c r="Q216" s="28" t="str"/>
      <x:c r="R216" s="28" t="str"/>
      <x:c r="S216" s="28" t="str">
        <x:v>Medium</x:v>
      </x:c>
      <x:c r="T216" s="28" t="str">
        <x:f>IF(L216="Done","Green",IF(L216="Blocked","Red",IF(TODAY()&gt;J216,"Red",IF(M216&gt;=0.6,"Yellow","Green"))))</x:f>
        <x:v>Green</x:v>
      </x:c>
      <x:c r="U216" s="28" t="str"/>
    </x:row>
    <x:row r="217">
      <x:c r="A217" s="28" t="str">
        <x:v>SV-05-0215</x:v>
      </x:c>
      <x:c r="B217" s="28" t="str">
        <x:v>Sprint 5</x:v>
      </x:c>
      <x:c r="C217" s="28" t="str">
        <x:v>Month 3</x:v>
      </x:c>
      <x:c r="D217" s="28" t="str">
        <x:v>QA/Tester</x:v>
      </x:c>
      <x:c r="E217" s="28" t="str">
        <x:v>Charts</x:v>
      </x:c>
      <x:c r="F217" s="28" t="str">
        <x:v>Test chart rendering</x:v>
      </x:c>
      <x:c r="G217" s="28" t="str">
        <x:v>UI test</x:v>
      </x:c>
      <x:c r="H217" s="28" t="str">
        <x:v>High</x:v>
      </x:c>
      <x:c r="I217" s="42" t="n">
        <x:f>INDEX('Sprint Plan'!$D$9:$D$20,MATCH(B217,'Sprint Plan'!$A$9:$A$20,0))</x:f>
        <x:v>46274</x:v>
      </x:c>
      <x:c r="J217" s="42" t="n">
        <x:f>INDEX('Sprint Plan'!$E$9:$E$20,MATCH(B217,'Sprint Plan'!$A$9:$A$20,0))</x:f>
        <x:v>46287</x:v>
      </x:c>
      <x:c r="K217" s="28" t="str">
        <x:v>TBD</x:v>
      </x:c>
      <x:c r="L217" s="28" t="str">
        <x:v>Not Started</x:v>
      </x:c>
      <x:c r="M217" s="43" t="n">
        <x:v>0</x:v>
      </x:c>
      <x:c r="N217" s="28" t="n">
        <x:v>1</x:v>
      </x:c>
      <x:c r="O217" s="28" t="str"/>
      <x:c r="P217" s="28" t="str"/>
      <x:c r="Q217" s="28" t="str"/>
      <x:c r="R217" s="28" t="str"/>
      <x:c r="S217" s="28" t="str">
        <x:v>Medium</x:v>
      </x:c>
      <x:c r="T217" s="28" t="str">
        <x:f>IF(L217="Done","Green",IF(L217="Blocked","Red",IF(TODAY()&gt;J217,"Red",IF(M217&gt;=0.6,"Yellow","Green"))))</x:f>
        <x:v>Green</x:v>
      </x:c>
      <x:c r="U217" s="28" t="str"/>
    </x:row>
    <x:row r="218">
      <x:c r="A218" s="28" t="str">
        <x:v>SV-05-0216</x:v>
      </x:c>
      <x:c r="B218" s="28" t="str">
        <x:v>Sprint 5</x:v>
      </x:c>
      <x:c r="C218" s="28" t="str">
        <x:v>Month 3</x:v>
      </x:c>
      <x:c r="D218" s="28" t="str">
        <x:v>QA/Tester</x:v>
      </x:c>
      <x:c r="E218" s="28" t="str">
        <x:v>Health</x:v>
      </x:c>
      <x:c r="F218" s="28" t="str">
        <x:v>Test health score logic</x:v>
      </x:c>
      <x:c r="G218" s="28" t="str">
        <x:v>Health test</x:v>
      </x:c>
      <x:c r="H218" s="28" t="str">
        <x:v>High</x:v>
      </x:c>
      <x:c r="I218" s="42" t="n">
        <x:f>INDEX('Sprint Plan'!$D$9:$D$20,MATCH(B218,'Sprint Plan'!$A$9:$A$20,0))</x:f>
        <x:v>46274</x:v>
      </x:c>
      <x:c r="J218" s="42" t="n">
        <x:f>INDEX('Sprint Plan'!$E$9:$E$20,MATCH(B218,'Sprint Plan'!$A$9:$A$20,0))</x:f>
        <x:v>46287</x:v>
      </x:c>
      <x:c r="K218" s="28" t="str">
        <x:v>TBD</x:v>
      </x:c>
      <x:c r="L218" s="28" t="str">
        <x:v>Not Started</x:v>
      </x:c>
      <x:c r="M218" s="43" t="n">
        <x:v>0</x:v>
      </x:c>
      <x:c r="N218" s="28" t="n">
        <x:v>1</x:v>
      </x:c>
      <x:c r="O218" s="28" t="str"/>
      <x:c r="P218" s="28" t="str"/>
      <x:c r="Q218" s="28" t="str"/>
      <x:c r="R218" s="28" t="str"/>
      <x:c r="S218" s="28" t="str">
        <x:v>Medium</x:v>
      </x:c>
      <x:c r="T218" s="28" t="str">
        <x:f>IF(L218="Done","Green",IF(L218="Blocked","Red",IF(TODAY()&gt;J218,"Red",IF(M218&gt;=0.6,"Yellow","Green"))))</x:f>
        <x:v>Green</x:v>
      </x:c>
      <x:c r="U218" s="28" t="str"/>
    </x:row>
    <x:row r="219">
      <x:c r="A219" s="28" t="str">
        <x:v>SV-05-0217</x:v>
      </x:c>
      <x:c r="B219" s="28" t="str">
        <x:v>Sprint 5</x:v>
      </x:c>
      <x:c r="C219" s="28" t="str">
        <x:v>Month 3</x:v>
      </x:c>
      <x:c r="D219" s="28" t="str">
        <x:v>QA/Tester</x:v>
      </x:c>
      <x:c r="E219" s="28" t="str">
        <x:v>Load</x:v>
      </x:c>
      <x:c r="F219" s="28" t="str">
        <x:v>Test monitoring under load</x:v>
      </x:c>
      <x:c r="G219" s="28" t="str">
        <x:v>Load test basic</x:v>
      </x:c>
      <x:c r="H219" s="28" t="str">
        <x:v>High</x:v>
      </x:c>
      <x:c r="I219" s="42" t="n">
        <x:f>INDEX('Sprint Plan'!$D$9:$D$20,MATCH(B219,'Sprint Plan'!$A$9:$A$20,0))</x:f>
        <x:v>46274</x:v>
      </x:c>
      <x:c r="J219" s="42" t="n">
        <x:f>INDEX('Sprint Plan'!$E$9:$E$20,MATCH(B219,'Sprint Plan'!$A$9:$A$20,0))</x:f>
        <x:v>46287</x:v>
      </x:c>
      <x:c r="K219" s="28" t="str">
        <x:v>TBD</x:v>
      </x:c>
      <x:c r="L219" s="28" t="str">
        <x:v>Not Started</x:v>
      </x:c>
      <x:c r="M219" s="43" t="n">
        <x:v>0</x:v>
      </x:c>
      <x:c r="N219" s="28" t="n">
        <x:v>1</x:v>
      </x:c>
      <x:c r="O219" s="28" t="str"/>
      <x:c r="P219" s="28" t="str"/>
      <x:c r="Q219" s="28" t="str"/>
      <x:c r="R219" s="28" t="str"/>
      <x:c r="S219" s="28" t="str">
        <x:v>Medium</x:v>
      </x:c>
      <x:c r="T219" s="28" t="str">
        <x:f>IF(L219="Done","Green",IF(L219="Blocked","Red",IF(TODAY()&gt;J219,"Red",IF(M219&gt;=0.6,"Yellow","Green"))))</x:f>
        <x:v>Green</x:v>
      </x:c>
      <x:c r="U219" s="28" t="str"/>
    </x:row>
    <x:row r="220">
      <x:c r="A220" s="28" t="str">
        <x:v>SV-05-0218</x:v>
      </x:c>
      <x:c r="B220" s="28" t="str">
        <x:v>Sprint 5</x:v>
      </x:c>
      <x:c r="C220" s="28" t="str">
        <x:v>Month 3</x:v>
      </x:c>
      <x:c r="D220" s="28" t="str">
        <x:v>Technical Writer</x:v>
      </x:c>
      <x:c r="E220" s="28" t="str">
        <x:v>Monitoring SOP</x:v>
      </x:c>
      <x:c r="F220" s="28" t="str">
        <x:v>SOP monitoring</x:v>
      </x:c>
      <x:c r="G220" s="28" t="str">
        <x:v>Monitoring SOP</x:v>
      </x:c>
      <x:c r="H220" s="28" t="str">
        <x:v>High</x:v>
      </x:c>
      <x:c r="I220" s="42" t="n">
        <x:f>INDEX('Sprint Plan'!$D$9:$D$20,MATCH(B220,'Sprint Plan'!$A$9:$A$20,0))</x:f>
        <x:v>46274</x:v>
      </x:c>
      <x:c r="J220" s="42" t="n">
        <x:f>INDEX('Sprint Plan'!$E$9:$E$20,MATCH(B220,'Sprint Plan'!$A$9:$A$20,0))</x:f>
        <x:v>46287</x:v>
      </x:c>
      <x:c r="K220" s="28" t="str">
        <x:v>TBD</x:v>
      </x:c>
      <x:c r="L220" s="28" t="str">
        <x:v>Not Started</x:v>
      </x:c>
      <x:c r="M220" s="43" t="n">
        <x:v>0</x:v>
      </x:c>
      <x:c r="N220" s="28" t="n">
        <x:v>1</x:v>
      </x:c>
      <x:c r="O220" s="28" t="str"/>
      <x:c r="P220" s="28" t="str"/>
      <x:c r="Q220" s="28" t="str"/>
      <x:c r="R220" s="28" t="str"/>
      <x:c r="S220" s="28" t="str">
        <x:v>Medium</x:v>
      </x:c>
      <x:c r="T220" s="28" t="str">
        <x:f>IF(L220="Done","Green",IF(L220="Blocked","Red",IF(TODAY()&gt;J220,"Red",IF(M220&gt;=0.6,"Yellow","Green"))))</x:f>
        <x:v>Green</x:v>
      </x:c>
      <x:c r="U220" s="28" t="str"/>
    </x:row>
    <x:row r="221">
      <x:c r="A221" s="28" t="str">
        <x:v>SV-05-0219</x:v>
      </x:c>
      <x:c r="B221" s="28" t="str">
        <x:v>Sprint 5</x:v>
      </x:c>
      <x:c r="C221" s="28" t="str">
        <x:v>Month 3</x:v>
      </x:c>
      <x:c r="D221" s="28" t="str">
        <x:v>Technical Writer</x:v>
      </x:c>
      <x:c r="E221" s="28" t="str">
        <x:v>Capacity SOP</x:v>
      </x:c>
      <x:c r="F221" s="28" t="str">
        <x:v>SOP capacity review</x:v>
      </x:c>
      <x:c r="G221" s="28" t="str">
        <x:v>Capacity SOP</x:v>
      </x:c>
      <x:c r="H221" s="28" t="str">
        <x:v>High</x:v>
      </x:c>
      <x:c r="I221" s="42" t="n">
        <x:f>INDEX('Sprint Plan'!$D$9:$D$20,MATCH(B221,'Sprint Plan'!$A$9:$A$20,0))</x:f>
        <x:v>46274</x:v>
      </x:c>
      <x:c r="J221" s="42" t="n">
        <x:f>INDEX('Sprint Plan'!$E$9:$E$20,MATCH(B221,'Sprint Plan'!$A$9:$A$20,0))</x:f>
        <x:v>46287</x:v>
      </x:c>
      <x:c r="K221" s="28" t="str">
        <x:v>TBD</x:v>
      </x:c>
      <x:c r="L221" s="28" t="str">
        <x:v>Not Started</x:v>
      </x:c>
      <x:c r="M221" s="43" t="n">
        <x:v>0</x:v>
      </x:c>
      <x:c r="N221" s="28" t="n">
        <x:v>1</x:v>
      </x:c>
      <x:c r="O221" s="28" t="str"/>
      <x:c r="P221" s="28" t="str"/>
      <x:c r="Q221" s="28" t="str"/>
      <x:c r="R221" s="28" t="str"/>
      <x:c r="S221" s="28" t="str">
        <x:v>Medium</x:v>
      </x:c>
      <x:c r="T221" s="28" t="str">
        <x:f>IF(L221="Done","Green",IF(L221="Blocked","Red",IF(TODAY()&gt;J221,"Red",IF(M221&gt;=0.6,"Yellow","Green"))))</x:f>
        <x:v>Green</x:v>
      </x:c>
      <x:c r="U221" s="28" t="str"/>
    </x:row>
    <x:row r="222">
      <x:c r="A222" s="28" t="str">
        <x:v>SV-05-0220</x:v>
      </x:c>
      <x:c r="B222" s="28" t="str">
        <x:v>Sprint 5</x:v>
      </x:c>
      <x:c r="C222" s="28" t="str">
        <x:v>Month 3</x:v>
      </x:c>
      <x:c r="D222" s="28" t="str">
        <x:v>Technical Writer</x:v>
      </x:c>
      <x:c r="E222" s="28" t="str">
        <x:v>Alert Guide</x:v>
      </x:c>
      <x:c r="F222" s="28" t="str">
        <x:v>Alert response guide</x:v>
      </x:c>
      <x:c r="G222" s="28" t="str">
        <x:v>Alert guide</x:v>
      </x:c>
      <x:c r="H222" s="28" t="str">
        <x:v>High</x:v>
      </x:c>
      <x:c r="I222" s="42" t="n">
        <x:f>INDEX('Sprint Plan'!$D$9:$D$20,MATCH(B222,'Sprint Plan'!$A$9:$A$20,0))</x:f>
        <x:v>46274</x:v>
      </x:c>
      <x:c r="J222" s="42" t="n">
        <x:f>INDEX('Sprint Plan'!$E$9:$E$20,MATCH(B222,'Sprint Plan'!$A$9:$A$20,0))</x:f>
        <x:v>46287</x:v>
      </x:c>
      <x:c r="K222" s="28" t="str">
        <x:v>TBD</x:v>
      </x:c>
      <x:c r="L222" s="28" t="str">
        <x:v>Not Started</x:v>
      </x:c>
      <x:c r="M222" s="43" t="n">
        <x:v>0</x:v>
      </x:c>
      <x:c r="N222" s="28" t="n">
        <x:v>1</x:v>
      </x:c>
      <x:c r="O222" s="28" t="str"/>
      <x:c r="P222" s="28" t="str"/>
      <x:c r="Q222" s="28" t="str"/>
      <x:c r="R222" s="28" t="str"/>
      <x:c r="S222" s="28" t="str">
        <x:v>Medium</x:v>
      </x:c>
      <x:c r="T222" s="28" t="str">
        <x:f>IF(L222="Done","Green",IF(L222="Blocked","Red",IF(TODAY()&gt;J222,"Red",IF(M222&gt;=0.6,"Yellow","Green"))))</x:f>
        <x:v>Green</x:v>
      </x:c>
      <x:c r="U222" s="28" t="str"/>
    </x:row>
    <x:row r="223">
      <x:c r="A223" s="28" t="str">
        <x:v>SV-05-0221</x:v>
      </x:c>
      <x:c r="B223" s="28" t="str">
        <x:v>Sprint 5</x:v>
      </x:c>
      <x:c r="C223" s="28" t="str">
        <x:v>Month 3</x:v>
      </x:c>
      <x:c r="D223" s="28" t="str">
        <x:v>Technical Writer</x:v>
      </x:c>
      <x:c r="E223" s="28" t="str">
        <x:v>Report Template</x:v>
      </x:c>
      <x:c r="F223" s="28" t="str">
        <x:v>Monthly health check template</x:v>
      </x:c>
      <x:c r="G223" s="28" t="str">
        <x:v>Health report template</x:v>
      </x:c>
      <x:c r="H223" s="28" t="str">
        <x:v>High</x:v>
      </x:c>
      <x:c r="I223" s="42" t="n">
        <x:f>INDEX('Sprint Plan'!$D$9:$D$20,MATCH(B223,'Sprint Plan'!$A$9:$A$20,0))</x:f>
        <x:v>46274</x:v>
      </x:c>
      <x:c r="J223" s="42" t="n">
        <x:f>INDEX('Sprint Plan'!$E$9:$E$20,MATCH(B223,'Sprint Plan'!$A$9:$A$20,0))</x:f>
        <x:v>46287</x:v>
      </x:c>
      <x:c r="K223" s="28" t="str">
        <x:v>TBD</x:v>
      </x:c>
      <x:c r="L223" s="28" t="str">
        <x:v>Not Started</x:v>
      </x:c>
      <x:c r="M223" s="43" t="n">
        <x:v>0</x:v>
      </x:c>
      <x:c r="N223" s="28" t="n">
        <x:v>1</x:v>
      </x:c>
      <x:c r="O223" s="28" t="str"/>
      <x:c r="P223" s="28" t="str"/>
      <x:c r="Q223" s="28" t="str"/>
      <x:c r="R223" s="28" t="str"/>
      <x:c r="S223" s="28" t="str">
        <x:v>Medium</x:v>
      </x:c>
      <x:c r="T223" s="28" t="str">
        <x:f>IF(L223="Done","Green",IF(L223="Blocked","Red",IF(TODAY()&gt;J223,"Red",IF(M223&gt;=0.6,"Yellow","Green"))))</x:f>
        <x:v>Green</x:v>
      </x:c>
      <x:c r="U223" s="28" t="str"/>
    </x:row>
    <x:row r="224">
      <x:c r="A224" s="28" t="str">
        <x:v>SV-05-0222</x:v>
      </x:c>
      <x:c r="B224" s="28" t="str">
        <x:v>Sprint 5</x:v>
      </x:c>
      <x:c r="C224" s="28" t="str">
        <x:v>Month 3</x:v>
      </x:c>
      <x:c r="D224" s="28" t="str">
        <x:v>Sales/Marketing/Presales</x:v>
      </x:c>
      <x:c r="E224" s="28" t="str">
        <x:v>Narrative</x:v>
      </x:c>
      <x:c r="F224" s="28" t="str">
        <x:v>Buat narrative health check infrastructure</x:v>
      </x:c>
      <x:c r="G224" s="28" t="str">
        <x:v>Sales narrative</x:v>
      </x:c>
      <x:c r="H224" s="28" t="str">
        <x:v>High</x:v>
      </x:c>
      <x:c r="I224" s="42" t="n">
        <x:f>INDEX('Sprint Plan'!$D$9:$D$20,MATCH(B224,'Sprint Plan'!$A$9:$A$20,0))</x:f>
        <x:v>46274</x:v>
      </x:c>
      <x:c r="J224" s="42" t="n">
        <x:f>INDEX('Sprint Plan'!$E$9:$E$20,MATCH(B224,'Sprint Plan'!$A$9:$A$20,0))</x:f>
        <x:v>46287</x:v>
      </x:c>
      <x:c r="K224" s="28" t="str">
        <x:v>TBD</x:v>
      </x:c>
      <x:c r="L224" s="28" t="str">
        <x:v>Not Started</x:v>
      </x:c>
      <x:c r="M224" s="43" t="n">
        <x:v>0</x:v>
      </x:c>
      <x:c r="N224" s="28" t="n">
        <x:v>1</x:v>
      </x:c>
      <x:c r="O224" s="28" t="str"/>
      <x:c r="P224" s="28" t="str"/>
      <x:c r="Q224" s="28" t="str"/>
      <x:c r="R224" s="28" t="str"/>
      <x:c r="S224" s="28" t="str">
        <x:v>Medium</x:v>
      </x:c>
      <x:c r="T224" s="28" t="str">
        <x:f>IF(L224="Done","Green",IF(L224="Blocked","Red",IF(TODAY()&gt;J224,"Red",IF(M224&gt;=0.6,"Yellow","Green"))))</x:f>
        <x:v>Green</x:v>
      </x:c>
      <x:c r="U224" s="28" t="str"/>
    </x:row>
    <x:row r="225">
      <x:c r="A225" s="28" t="str">
        <x:v>SV-05-0223</x:v>
      </x:c>
      <x:c r="B225" s="28" t="str">
        <x:v>Sprint 5</x:v>
      </x:c>
      <x:c r="C225" s="28" t="str">
        <x:v>Month 3</x:v>
      </x:c>
      <x:c r="D225" s="28" t="str">
        <x:v>Sales/Marketing/Presales</x:v>
      </x:c>
      <x:c r="E225" s="28" t="str">
        <x:v>Sample</x:v>
      </x:c>
      <x:c r="F225" s="28" t="str">
        <x:v>Buat sample health report untuk customer</x:v>
      </x:c>
      <x:c r="G225" s="28" t="str">
        <x:v>Sample report</x:v>
      </x:c>
      <x:c r="H225" s="28" t="str">
        <x:v>High</x:v>
      </x:c>
      <x:c r="I225" s="42" t="n">
        <x:f>INDEX('Sprint Plan'!$D$9:$D$20,MATCH(B225,'Sprint Plan'!$A$9:$A$20,0))</x:f>
        <x:v>46274</x:v>
      </x:c>
      <x:c r="J225" s="42" t="n">
        <x:f>INDEX('Sprint Plan'!$E$9:$E$20,MATCH(B225,'Sprint Plan'!$A$9:$A$20,0))</x:f>
        <x:v>46287</x:v>
      </x:c>
      <x:c r="K225" s="28" t="str">
        <x:v>TBD</x:v>
      </x:c>
      <x:c r="L225" s="28" t="str">
        <x:v>Not Started</x:v>
      </x:c>
      <x:c r="M225" s="43" t="n">
        <x:v>0</x:v>
      </x:c>
      <x:c r="N225" s="28" t="n">
        <x:v>1</x:v>
      </x:c>
      <x:c r="O225" s="28" t="str"/>
      <x:c r="P225" s="28" t="str"/>
      <x:c r="Q225" s="28" t="str"/>
      <x:c r="R225" s="28" t="str"/>
      <x:c r="S225" s="28" t="str">
        <x:v>Medium</x:v>
      </x:c>
      <x:c r="T225" s="28" t="str">
        <x:f>IF(L225="Done","Green",IF(L225="Blocked","Red",IF(TODAY()&gt;J225,"Red",IF(M225&gt;=0.6,"Yellow","Green"))))</x:f>
        <x:v>Green</x:v>
      </x:c>
      <x:c r="U225" s="28" t="str"/>
    </x:row>
    <x:row r="226">
      <x:c r="A226" s="28" t="str">
        <x:v>SV-05-0224</x:v>
      </x:c>
      <x:c r="B226" s="28" t="str">
        <x:v>Sprint 5</x:v>
      </x:c>
      <x:c r="C226" s="28" t="str">
        <x:v>Month 3</x:v>
      </x:c>
      <x:c r="D226" s="28" t="str">
        <x:v>Sales/Marketing/Presales</x:v>
      </x:c>
      <x:c r="E226" s="28" t="str">
        <x:v>Offer</x:v>
      </x:c>
      <x:c r="F226" s="28" t="str">
        <x:v>Buat offer Saft VE Assessment</x:v>
      </x:c>
      <x:c r="G226" s="28" t="str">
        <x:v>Assessment offer</x:v>
      </x:c>
      <x:c r="H226" s="28" t="str">
        <x:v>High</x:v>
      </x:c>
      <x:c r="I226" s="42" t="n">
        <x:f>INDEX('Sprint Plan'!$D$9:$D$20,MATCH(B226,'Sprint Plan'!$A$9:$A$20,0))</x:f>
        <x:v>46274</x:v>
      </x:c>
      <x:c r="J226" s="42" t="n">
        <x:f>INDEX('Sprint Plan'!$E$9:$E$20,MATCH(B226,'Sprint Plan'!$A$9:$A$20,0))</x:f>
        <x:v>46287</x:v>
      </x:c>
      <x:c r="K226" s="28" t="str">
        <x:v>TBD</x:v>
      </x:c>
      <x:c r="L226" s="28" t="str">
        <x:v>Not Started</x:v>
      </x:c>
      <x:c r="M226" s="43" t="n">
        <x:v>0</x:v>
      </x:c>
      <x:c r="N226" s="28" t="n">
        <x:v>1</x:v>
      </x:c>
      <x:c r="O226" s="28" t="str"/>
      <x:c r="P226" s="28" t="str"/>
      <x:c r="Q226" s="28" t="str"/>
      <x:c r="R226" s="28" t="str"/>
      <x:c r="S226" s="28" t="str">
        <x:v>Medium</x:v>
      </x:c>
      <x:c r="T226" s="28" t="str">
        <x:f>IF(L226="Done","Green",IF(L226="Blocked","Red",IF(TODAY()&gt;J226,"Red",IF(M226&gt;=0.6,"Yellow","Green"))))</x:f>
        <x:v>Green</x:v>
      </x:c>
      <x:c r="U226" s="28" t="str"/>
    </x:row>
    <x:row r="227">
      <x:c r="A227" s="28" t="str">
        <x:v>SV-05-0225</x:v>
      </x:c>
      <x:c r="B227" s="28" t="str">
        <x:v>Sprint 5</x:v>
      </x:c>
      <x:c r="C227" s="28" t="str">
        <x:v>Month 3</x:v>
      </x:c>
      <x:c r="D227" s="28" t="str">
        <x:v>Sales/Marketing/Presales</x:v>
      </x:c>
      <x:c r="E227" s="28" t="str">
        <x:v>Checklist</x:v>
      </x:c>
      <x:c r="F227" s="28" t="str">
        <x:v>Buat checklist discovery infra</x:v>
      </x:c>
      <x:c r="G227" s="28" t="str">
        <x:v>Discovery checklist</x:v>
      </x:c>
      <x:c r="H227" s="28" t="str">
        <x:v>High</x:v>
      </x:c>
      <x:c r="I227" s="42" t="n">
        <x:f>INDEX('Sprint Plan'!$D$9:$D$20,MATCH(B227,'Sprint Plan'!$A$9:$A$20,0))</x:f>
        <x:v>46274</x:v>
      </x:c>
      <x:c r="J227" s="42" t="n">
        <x:f>INDEX('Sprint Plan'!$E$9:$E$20,MATCH(B227,'Sprint Plan'!$A$9:$A$20,0))</x:f>
        <x:v>46287</x:v>
      </x:c>
      <x:c r="K227" s="28" t="str">
        <x:v>TBD</x:v>
      </x:c>
      <x:c r="L227" s="28" t="str">
        <x:v>Not Started</x:v>
      </x:c>
      <x:c r="M227" s="43" t="n">
        <x:v>0</x:v>
      </x:c>
      <x:c r="N227" s="28" t="n">
        <x:v>1</x:v>
      </x:c>
      <x:c r="O227" s="28" t="str"/>
      <x:c r="P227" s="28" t="str"/>
      <x:c r="Q227" s="28" t="str"/>
      <x:c r="R227" s="28" t="str"/>
      <x:c r="S227" s="28" t="str">
        <x:v>Medium</x:v>
      </x:c>
      <x:c r="T227" s="28" t="str">
        <x:f>IF(L227="Done","Green",IF(L227="Blocked","Red",IF(TODAY()&gt;J227,"Red",IF(M227&gt;=0.6,"Yellow","Green"))))</x:f>
        <x:v>Green</x:v>
      </x:c>
      <x:c r="U227" s="28" t="str"/>
    </x:row>
    <x:row r="228">
      <x:c r="A228" s="28" t="str">
        <x:v>SV-05-0226</x:v>
      </x:c>
      <x:c r="B228" s="28" t="str">
        <x:v>Sprint 5</x:v>
      </x:c>
      <x:c r="C228" s="28" t="str">
        <x:v>Month 3</x:v>
      </x:c>
      <x:c r="D228" s="28" t="str">
        <x:v>Sales/Marketing/Presales</x:v>
      </x:c>
      <x:c r="E228" s="28" t="str">
        <x:v>Brochure</x:v>
      </x:c>
      <x:c r="F228" s="28" t="str">
        <x:v>Update brochure dengan monitoring value</x:v>
      </x:c>
      <x:c r="G228" s="28" t="str">
        <x:v>Brochure v2</x:v>
      </x:c>
      <x:c r="H228" s="28" t="str">
        <x:v>High</x:v>
      </x:c>
      <x:c r="I228" s="42" t="n">
        <x:f>INDEX('Sprint Plan'!$D$9:$D$20,MATCH(B228,'Sprint Plan'!$A$9:$A$20,0))</x:f>
        <x:v>46274</x:v>
      </x:c>
      <x:c r="J228" s="42" t="n">
        <x:f>INDEX('Sprint Plan'!$E$9:$E$20,MATCH(B228,'Sprint Plan'!$A$9:$A$20,0))</x:f>
        <x:v>46287</x:v>
      </x:c>
      <x:c r="K228" s="28" t="str">
        <x:v>TBD</x:v>
      </x:c>
      <x:c r="L228" s="28" t="str">
        <x:v>Not Started</x:v>
      </x:c>
      <x:c r="M228" s="43" t="n">
        <x:v>0</x:v>
      </x:c>
      <x:c r="N228" s="28" t="n">
        <x:v>1</x:v>
      </x:c>
      <x:c r="O228" s="28" t="str"/>
      <x:c r="P228" s="28" t="str"/>
      <x:c r="Q228" s="28" t="str"/>
      <x:c r="R228" s="28" t="str"/>
      <x:c r="S228" s="28" t="str">
        <x:v>Medium</x:v>
      </x:c>
      <x:c r="T228" s="28" t="str">
        <x:f>IF(L228="Done","Green",IF(L228="Blocked","Red",IF(TODAY()&gt;J228,"Red",IF(M228&gt;=0.6,"Yellow","Green"))))</x:f>
        <x:v>Green</x:v>
      </x:c>
      <x:c r="U228" s="28" t="str"/>
    </x:row>
    <x:row r="229">
      <x:c r="A229" s="28" t="str">
        <x:v>SV-06-0227</x:v>
      </x:c>
      <x:c r="B229" s="28" t="str">
        <x:v>Sprint 6</x:v>
      </x:c>
      <x:c r="C229" s="28" t="str">
        <x:v>Month 4</x:v>
      </x:c>
      <x:c r="D229" s="28" t="str">
        <x:v>Product Owner</x:v>
      </x:c>
      <x:c r="E229" s="28" t="str">
        <x:v>Policy</x:v>
      </x:c>
      <x:c r="F229" s="28" t="str">
        <x:v>Definisikan backup policy type</x:v>
      </x:c>
      <x:c r="G229" s="28" t="str">
        <x:v>Policy spec</x:v>
      </x:c>
      <x:c r="H229" s="28" t="str">
        <x:v>Critical</x:v>
      </x:c>
      <x:c r="I229" s="42" t="n">
        <x:f>INDEX('Sprint Plan'!$D$9:$D$20,MATCH(B229,'Sprint Plan'!$A$9:$A$20,0))</x:f>
        <x:v>46288</x:v>
      </x:c>
      <x:c r="J229" s="42" t="n">
        <x:f>INDEX('Sprint Plan'!$E$9:$E$20,MATCH(B229,'Sprint Plan'!$A$9:$A$20,0))</x:f>
        <x:v>46301</x:v>
      </x:c>
      <x:c r="K229" s="28" t="str">
        <x:v>TBD</x:v>
      </x:c>
      <x:c r="L229" s="28" t="str">
        <x:v>Not Started</x:v>
      </x:c>
      <x:c r="M229" s="43" t="n">
        <x:v>0</x:v>
      </x:c>
      <x:c r="N229" s="28" t="n">
        <x:v>1</x:v>
      </x:c>
      <x:c r="O229" s="28" t="str"/>
      <x:c r="P229" s="28" t="str"/>
      <x:c r="Q229" s="28" t="str"/>
      <x:c r="R229" s="28" t="str"/>
      <x:c r="S229" s="28" t="str">
        <x:v>High</x:v>
      </x:c>
      <x:c r="T229" s="28" t="str">
        <x:f>IF(L229="Done","Green",IF(L229="Blocked","Red",IF(TODAY()&gt;J229,"Red",IF(M229&gt;=0.6,"Yellow","Green"))))</x:f>
        <x:v>Green</x:v>
      </x:c>
      <x:c r="U229" s="28" t="str"/>
    </x:row>
    <x:row r="230">
      <x:c r="A230" s="28" t="str">
        <x:v>SV-06-0228</x:v>
      </x:c>
      <x:c r="B230" s="28" t="str">
        <x:v>Sprint 6</x:v>
      </x:c>
      <x:c r="C230" s="28" t="str">
        <x:v>Month 4</x:v>
      </x:c>
      <x:c r="D230" s="28" t="str">
        <x:v>Product Owner</x:v>
      </x:c>
      <x:c r="E230" s="28" t="str">
        <x:v>Compliance</x:v>
      </x:c>
      <x:c r="F230" s="28" t="str">
        <x:v>Definisikan backup compliance rule</x:v>
      </x:c>
      <x:c r="G230" s="28" t="str">
        <x:v>Compliance rule</x:v>
      </x:c>
      <x:c r="H230" s="28" t="str">
        <x:v>Critical</x:v>
      </x:c>
      <x:c r="I230" s="42" t="n">
        <x:f>INDEX('Sprint Plan'!$D$9:$D$20,MATCH(B230,'Sprint Plan'!$A$9:$A$20,0))</x:f>
        <x:v>46288</x:v>
      </x:c>
      <x:c r="J230" s="42" t="n">
        <x:f>INDEX('Sprint Plan'!$E$9:$E$20,MATCH(B230,'Sprint Plan'!$A$9:$A$20,0))</x:f>
        <x:v>46301</x:v>
      </x:c>
      <x:c r="K230" s="28" t="str">
        <x:v>TBD</x:v>
      </x:c>
      <x:c r="L230" s="28" t="str">
        <x:v>Not Started</x:v>
      </x:c>
      <x:c r="M230" s="43" t="n">
        <x:v>0</x:v>
      </x:c>
      <x:c r="N230" s="28" t="n">
        <x:v>1</x:v>
      </x:c>
      <x:c r="O230" s="28" t="str"/>
      <x:c r="P230" s="28" t="str"/>
      <x:c r="Q230" s="28" t="str"/>
      <x:c r="R230" s="28" t="str"/>
      <x:c r="S230" s="28" t="str">
        <x:v>High</x:v>
      </x:c>
      <x:c r="T230" s="28" t="str">
        <x:f>IF(L230="Done","Green",IF(L230="Blocked","Red",IF(TODAY()&gt;J230,"Red",IF(M230&gt;=0.6,"Yellow","Green"))))</x:f>
        <x:v>Green</x:v>
      </x:c>
      <x:c r="U230" s="28" t="str"/>
    </x:row>
    <x:row r="231">
      <x:c r="A231" s="28" t="str">
        <x:v>SV-06-0229</x:v>
      </x:c>
      <x:c r="B231" s="28" t="str">
        <x:v>Sprint 6</x:v>
      </x:c>
      <x:c r="C231" s="28" t="str">
        <x:v>Month 4</x:v>
      </x:c>
      <x:c r="D231" s="28" t="str">
        <x:v>Product Owner</x:v>
      </x:c>
      <x:c r="E231" s="28" t="str">
        <x:v>Protection</x:v>
      </x:c>
      <x:c r="F231" s="28" t="str">
        <x:v>Definisikan VM protected/unprotected</x:v>
      </x:c>
      <x:c r="G231" s="28" t="str">
        <x:v>Protection rule</x:v>
      </x:c>
      <x:c r="H231" s="28" t="str">
        <x:v>Critical</x:v>
      </x:c>
      <x:c r="I231" s="42" t="n">
        <x:f>INDEX('Sprint Plan'!$D$9:$D$20,MATCH(B231,'Sprint Plan'!$A$9:$A$20,0))</x:f>
        <x:v>46288</x:v>
      </x:c>
      <x:c r="J231" s="42" t="n">
        <x:f>INDEX('Sprint Plan'!$E$9:$E$20,MATCH(B231,'Sprint Plan'!$A$9:$A$20,0))</x:f>
        <x:v>46301</x:v>
      </x:c>
      <x:c r="K231" s="28" t="str">
        <x:v>TBD</x:v>
      </x:c>
      <x:c r="L231" s="28" t="str">
        <x:v>Not Started</x:v>
      </x:c>
      <x:c r="M231" s="43" t="n">
        <x:v>0</x:v>
      </x:c>
      <x:c r="N231" s="28" t="n">
        <x:v>1</x:v>
      </x:c>
      <x:c r="O231" s="28" t="str"/>
      <x:c r="P231" s="28" t="str"/>
      <x:c r="Q231" s="28" t="str"/>
      <x:c r="R231" s="28" t="str"/>
      <x:c r="S231" s="28" t="str">
        <x:v>High</x:v>
      </x:c>
      <x:c r="T231" s="28" t="str">
        <x:f>IF(L231="Done","Green",IF(L231="Blocked","Red",IF(TODAY()&gt;J231,"Red",IF(M231&gt;=0.6,"Yellow","Green"))))</x:f>
        <x:v>Green</x:v>
      </x:c>
      <x:c r="U231" s="28" t="str"/>
    </x:row>
    <x:row r="232">
      <x:c r="A232" s="28" t="str">
        <x:v>SV-06-0230</x:v>
      </x:c>
      <x:c r="B232" s="28" t="str">
        <x:v>Sprint 6</x:v>
      </x:c>
      <x:c r="C232" s="28" t="str">
        <x:v>Month 4</x:v>
      </x:c>
      <x:c r="D232" s="28" t="str">
        <x:v>Product Owner</x:v>
      </x:c>
      <x:c r="E232" s="28" t="str">
        <x:v>Restore</x:v>
      </x:c>
      <x:c r="F232" s="28" t="str">
        <x:v>Definisikan restore requirement</x:v>
      </x:c>
      <x:c r="G232" s="28" t="str">
        <x:v>Restore requirement</x:v>
      </x:c>
      <x:c r="H232" s="28" t="str">
        <x:v>Critical</x:v>
      </x:c>
      <x:c r="I232" s="42" t="n">
        <x:f>INDEX('Sprint Plan'!$D$9:$D$20,MATCH(B232,'Sprint Plan'!$A$9:$A$20,0))</x:f>
        <x:v>46288</x:v>
      </x:c>
      <x:c r="J232" s="42" t="n">
        <x:f>INDEX('Sprint Plan'!$E$9:$E$20,MATCH(B232,'Sprint Plan'!$A$9:$A$20,0))</x:f>
        <x:v>46301</x:v>
      </x:c>
      <x:c r="K232" s="28" t="str">
        <x:v>TBD</x:v>
      </x:c>
      <x:c r="L232" s="28" t="str">
        <x:v>Not Started</x:v>
      </x:c>
      <x:c r="M232" s="43" t="n">
        <x:v>0</x:v>
      </x:c>
      <x:c r="N232" s="28" t="n">
        <x:v>1</x:v>
      </x:c>
      <x:c r="O232" s="28" t="str"/>
      <x:c r="P232" s="28" t="str"/>
      <x:c r="Q232" s="28" t="str"/>
      <x:c r="R232" s="28" t="str"/>
      <x:c r="S232" s="28" t="str">
        <x:v>High</x:v>
      </x:c>
      <x:c r="T232" s="28" t="str">
        <x:f>IF(L232="Done","Green",IF(L232="Blocked","Red",IF(TODAY()&gt;J232,"Red",IF(M232&gt;=0.6,"Yellow","Green"))))</x:f>
        <x:v>Green</x:v>
      </x:c>
      <x:c r="U232" s="28" t="str"/>
    </x:row>
    <x:row r="233">
      <x:c r="A233" s="28" t="str">
        <x:v>SV-06-0231</x:v>
      </x:c>
      <x:c r="B233" s="28" t="str">
        <x:v>Sprint 6</x:v>
      </x:c>
      <x:c r="C233" s="28" t="str">
        <x:v>Month 4</x:v>
      </x:c>
      <x:c r="D233" s="28" t="str">
        <x:v>Solution Architect</x:v>
      </x:c>
      <x:c r="E233" s="28" t="str">
        <x:v>Backup Arch</x:v>
      </x:c>
      <x:c r="F233" s="28" t="str">
        <x:v>Desain backup architecture</x:v>
      </x:c>
      <x:c r="G233" s="28" t="str">
        <x:v>Backup design</x:v>
      </x:c>
      <x:c r="H233" s="28" t="str">
        <x:v>Critical</x:v>
      </x:c>
      <x:c r="I233" s="42" t="n">
        <x:f>INDEX('Sprint Plan'!$D$9:$D$20,MATCH(B233,'Sprint Plan'!$A$9:$A$20,0))</x:f>
        <x:v>46288</x:v>
      </x:c>
      <x:c r="J233" s="42" t="n">
        <x:f>INDEX('Sprint Plan'!$E$9:$E$20,MATCH(B233,'Sprint Plan'!$A$9:$A$20,0))</x:f>
        <x:v>46301</x:v>
      </x:c>
      <x:c r="K233" s="28" t="str">
        <x:v>TBD</x:v>
      </x:c>
      <x:c r="L233" s="28" t="str">
        <x:v>Not Started</x:v>
      </x:c>
      <x:c r="M233" s="43" t="n">
        <x:v>0</x:v>
      </x:c>
      <x:c r="N233" s="28" t="n">
        <x:v>1</x:v>
      </x:c>
      <x:c r="O233" s="28" t="str"/>
      <x:c r="P233" s="28" t="str"/>
      <x:c r="Q233" s="28" t="str"/>
      <x:c r="R233" s="28" t="str"/>
      <x:c r="S233" s="28" t="str">
        <x:v>High</x:v>
      </x:c>
      <x:c r="T233" s="28" t="str">
        <x:f>IF(L233="Done","Green",IF(L233="Blocked","Red",IF(TODAY()&gt;J233,"Red",IF(M233&gt;=0.6,"Yellow","Green"))))</x:f>
        <x:v>Green</x:v>
      </x:c>
      <x:c r="U233" s="28" t="str"/>
    </x:row>
    <x:row r="234">
      <x:c r="A234" s="28" t="str">
        <x:v>SV-06-0232</x:v>
      </x:c>
      <x:c r="B234" s="28" t="str">
        <x:v>Sprint 6</x:v>
      </x:c>
      <x:c r="C234" s="28" t="str">
        <x:v>Month 4</x:v>
      </x:c>
      <x:c r="D234" s="28" t="str">
        <x:v>Solution Architect</x:v>
      </x:c>
      <x:c r="E234" s="28" t="str">
        <x:v>Metadata</x:v>
      </x:c>
      <x:c r="F234" s="28" t="str">
        <x:v>Desain backup metadata</x:v>
      </x:c>
      <x:c r="G234" s="28" t="str">
        <x:v>Metadata model</x:v>
      </x:c>
      <x:c r="H234" s="28" t="str">
        <x:v>Critical</x:v>
      </x:c>
      <x:c r="I234" s="42" t="n">
        <x:f>INDEX('Sprint Plan'!$D$9:$D$20,MATCH(B234,'Sprint Plan'!$A$9:$A$20,0))</x:f>
        <x:v>46288</x:v>
      </x:c>
      <x:c r="J234" s="42" t="n">
        <x:f>INDEX('Sprint Plan'!$E$9:$E$20,MATCH(B234,'Sprint Plan'!$A$9:$A$20,0))</x:f>
        <x:v>46301</x:v>
      </x:c>
      <x:c r="K234" s="28" t="str">
        <x:v>TBD</x:v>
      </x:c>
      <x:c r="L234" s="28" t="str">
        <x:v>Not Started</x:v>
      </x:c>
      <x:c r="M234" s="43" t="n">
        <x:v>0</x:v>
      </x:c>
      <x:c r="N234" s="28" t="n">
        <x:v>1</x:v>
      </x:c>
      <x:c r="O234" s="28" t="str"/>
      <x:c r="P234" s="28" t="str"/>
      <x:c r="Q234" s="28" t="str"/>
      <x:c r="R234" s="28" t="str"/>
      <x:c r="S234" s="28" t="str">
        <x:v>High</x:v>
      </x:c>
      <x:c r="T234" s="28" t="str">
        <x:f>IF(L234="Done","Green",IF(L234="Blocked","Red",IF(TODAY()&gt;J234,"Red",IF(M234&gt;=0.6,"Yellow","Green"))))</x:f>
        <x:v>Green</x:v>
      </x:c>
      <x:c r="U234" s="28" t="str"/>
    </x:row>
    <x:row r="235">
      <x:c r="A235" s="28" t="str">
        <x:v>SV-06-0233</x:v>
      </x:c>
      <x:c r="B235" s="28" t="str">
        <x:v>Sprint 6</x:v>
      </x:c>
      <x:c r="C235" s="28" t="str">
        <x:v>Month 4</x:v>
      </x:c>
      <x:c r="D235" s="28" t="str">
        <x:v>Solution Architect</x:v>
      </x:c>
      <x:c r="E235" s="28" t="str">
        <x:v>Status</x:v>
      </x:c>
      <x:c r="F235" s="28" t="str">
        <x:v>Desain backup status mapping</x:v>
      </x:c>
      <x:c r="G235" s="28" t="str">
        <x:v>Status mapping</x:v>
      </x:c>
      <x:c r="H235" s="28" t="str">
        <x:v>Critical</x:v>
      </x:c>
      <x:c r="I235" s="42" t="n">
        <x:f>INDEX('Sprint Plan'!$D$9:$D$20,MATCH(B235,'Sprint Plan'!$A$9:$A$20,0))</x:f>
        <x:v>46288</x:v>
      </x:c>
      <x:c r="J235" s="42" t="n">
        <x:f>INDEX('Sprint Plan'!$E$9:$E$20,MATCH(B235,'Sprint Plan'!$A$9:$A$20,0))</x:f>
        <x:v>46301</x:v>
      </x:c>
      <x:c r="K235" s="28" t="str">
        <x:v>TBD</x:v>
      </x:c>
      <x:c r="L235" s="28" t="str">
        <x:v>Not Started</x:v>
      </x:c>
      <x:c r="M235" s="43" t="n">
        <x:v>0</x:v>
      </x:c>
      <x:c r="N235" s="28" t="n">
        <x:v>1</x:v>
      </x:c>
      <x:c r="O235" s="28" t="str"/>
      <x:c r="P235" s="28" t="str"/>
      <x:c r="Q235" s="28" t="str"/>
      <x:c r="R235" s="28" t="str"/>
      <x:c r="S235" s="28" t="str">
        <x:v>High</x:v>
      </x:c>
      <x:c r="T235" s="28" t="str">
        <x:f>IF(L235="Done","Green",IF(L235="Blocked","Red",IF(TODAY()&gt;J235,"Red",IF(M235&gt;=0.6,"Yellow","Green"))))</x:f>
        <x:v>Green</x:v>
      </x:c>
      <x:c r="U235" s="28" t="str"/>
    </x:row>
    <x:row r="236">
      <x:c r="A236" s="28" t="str">
        <x:v>SV-06-0234</x:v>
      </x:c>
      <x:c r="B236" s="28" t="str">
        <x:v>Sprint 6</x:v>
      </x:c>
      <x:c r="C236" s="28" t="str">
        <x:v>Month 4</x:v>
      </x:c>
      <x:c r="D236" s="28" t="str">
        <x:v>Solution Architect</x:v>
      </x:c>
      <x:c r="E236" s="28" t="str">
        <x:v>Restore</x:v>
      </x:c>
      <x:c r="F236" s="28" t="str">
        <x:v>Desain restore workflow</x:v>
      </x:c>
      <x:c r="G236" s="28" t="str">
        <x:v>Restore design</x:v>
      </x:c>
      <x:c r="H236" s="28" t="str">
        <x:v>Critical</x:v>
      </x:c>
      <x:c r="I236" s="42" t="n">
        <x:f>INDEX('Sprint Plan'!$D$9:$D$20,MATCH(B236,'Sprint Plan'!$A$9:$A$20,0))</x:f>
        <x:v>46288</x:v>
      </x:c>
      <x:c r="J236" s="42" t="n">
        <x:f>INDEX('Sprint Plan'!$E$9:$E$20,MATCH(B236,'Sprint Plan'!$A$9:$A$20,0))</x:f>
        <x:v>46301</x:v>
      </x:c>
      <x:c r="K236" s="28" t="str">
        <x:v>TBD</x:v>
      </x:c>
      <x:c r="L236" s="28" t="str">
        <x:v>Not Started</x:v>
      </x:c>
      <x:c r="M236" s="43" t="n">
        <x:v>0</x:v>
      </x:c>
      <x:c r="N236" s="28" t="n">
        <x:v>1</x:v>
      </x:c>
      <x:c r="O236" s="28" t="str"/>
      <x:c r="P236" s="28" t="str"/>
      <x:c r="Q236" s="28" t="str"/>
      <x:c r="R236" s="28" t="str"/>
      <x:c r="S236" s="28" t="str">
        <x:v>High</x:v>
      </x:c>
      <x:c r="T236" s="28" t="str">
        <x:f>IF(L236="Done","Green",IF(L236="Blocked","Red",IF(TODAY()&gt;J236,"Red",IF(M236&gt;=0.6,"Yellow","Green"))))</x:f>
        <x:v>Green</x:v>
      </x:c>
      <x:c r="U236" s="28" t="str"/>
    </x:row>
    <x:row r="237">
      <x:c r="A237" s="28" t="str">
        <x:v>SV-06-0235</x:v>
      </x:c>
      <x:c r="B237" s="28" t="str">
        <x:v>Sprint 6</x:v>
      </x:c>
      <x:c r="C237" s="28" t="str">
        <x:v>Month 4</x:v>
      </x:c>
      <x:c r="D237" s="28" t="str">
        <x:v>Solution Architect</x:v>
      </x:c>
      <x:c r="E237" s="28" t="str">
        <x:v>Risk</x:v>
      </x:c>
      <x:c r="F237" s="28" t="str">
        <x:v>Review risiko consistency backup</x:v>
      </x:c>
      <x:c r="G237" s="28" t="str">
        <x:v>Risk note</x:v>
      </x:c>
      <x:c r="H237" s="28" t="str">
        <x:v>Critical</x:v>
      </x:c>
      <x:c r="I237" s="42" t="n">
        <x:f>INDEX('Sprint Plan'!$D$9:$D$20,MATCH(B237,'Sprint Plan'!$A$9:$A$20,0))</x:f>
        <x:v>46288</x:v>
      </x:c>
      <x:c r="J237" s="42" t="n">
        <x:f>INDEX('Sprint Plan'!$E$9:$E$20,MATCH(B237,'Sprint Plan'!$A$9:$A$20,0))</x:f>
        <x:v>46301</x:v>
      </x:c>
      <x:c r="K237" s="28" t="str">
        <x:v>TBD</x:v>
      </x:c>
      <x:c r="L237" s="28" t="str">
        <x:v>Not Started</x:v>
      </x:c>
      <x:c r="M237" s="43" t="n">
        <x:v>0</x:v>
      </x:c>
      <x:c r="N237" s="28" t="n">
        <x:v>1</x:v>
      </x:c>
      <x:c r="O237" s="28" t="str"/>
      <x:c r="P237" s="28" t="str"/>
      <x:c r="Q237" s="28" t="str"/>
      <x:c r="R237" s="28" t="str"/>
      <x:c r="S237" s="28" t="str">
        <x:v>High</x:v>
      </x:c>
      <x:c r="T237" s="28" t="str">
        <x:f>IF(L237="Done","Green",IF(L237="Blocked","Red",IF(TODAY()&gt;J237,"Red",IF(M237&gt;=0.6,"Yellow","Green"))))</x:f>
        <x:v>Green</x:v>
      </x:c>
      <x:c r="U237" s="28" t="str"/>
    </x:row>
    <x:row r="238">
      <x:c r="A238" s="28" t="str">
        <x:v>SV-06-0236</x:v>
      </x:c>
      <x:c r="B238" s="28" t="str">
        <x:v>Sprint 6</x:v>
      </x:c>
      <x:c r="C238" s="28" t="str">
        <x:v>Month 4</x:v>
      </x:c>
      <x:c r="D238" s="28" t="str">
        <x:v>Infra/OpenNebula Engineer</x:v>
      </x:c>
      <x:c r="E238" s="28" t="str">
        <x:v>Repo</x:v>
      </x:c>
      <x:c r="F238" s="28" t="str">
        <x:v>Setup backup repository</x:v>
      </x:c>
      <x:c r="G238" s="28" t="str">
        <x:v>Backup repo ready</x:v>
      </x:c>
      <x:c r="H238" s="28" t="str">
        <x:v>Critical</x:v>
      </x:c>
      <x:c r="I238" s="42" t="n">
        <x:f>INDEX('Sprint Plan'!$D$9:$D$20,MATCH(B238,'Sprint Plan'!$A$9:$A$20,0))</x:f>
        <x:v>46288</x:v>
      </x:c>
      <x:c r="J238" s="42" t="n">
        <x:f>INDEX('Sprint Plan'!$E$9:$E$20,MATCH(B238,'Sprint Plan'!$A$9:$A$20,0))</x:f>
        <x:v>46301</x:v>
      </x:c>
      <x:c r="K238" s="28" t="str">
        <x:v>TBD</x:v>
      </x:c>
      <x:c r="L238" s="28" t="str">
        <x:v>Not Started</x:v>
      </x:c>
      <x:c r="M238" s="43" t="n">
        <x:v>0</x:v>
      </x:c>
      <x:c r="N238" s="28" t="n">
        <x:v>1</x:v>
      </x:c>
      <x:c r="O238" s="28" t="str"/>
      <x:c r="P238" s="28" t="str"/>
      <x:c r="Q238" s="28" t="str"/>
      <x:c r="R238" s="28" t="str"/>
      <x:c r="S238" s="28" t="str">
        <x:v>High</x:v>
      </x:c>
      <x:c r="T238" s="28" t="str">
        <x:f>IF(L238="Done","Green",IF(L238="Blocked","Red",IF(TODAY()&gt;J238,"Red",IF(M238&gt;=0.6,"Yellow","Green"))))</x:f>
        <x:v>Green</x:v>
      </x:c>
      <x:c r="U238" s="28" t="str"/>
    </x:row>
    <x:row r="239">
      <x:c r="A239" s="28" t="str">
        <x:v>SV-06-0237</x:v>
      </x:c>
      <x:c r="B239" s="28" t="str">
        <x:v>Sprint 6</x:v>
      </x:c>
      <x:c r="C239" s="28" t="str">
        <x:v>Month 4</x:v>
      </x:c>
      <x:c r="D239" s="28" t="str">
        <x:v>Infra/OpenNebula Engineer</x:v>
      </x:c>
      <x:c r="E239" s="28" t="str">
        <x:v>Engine Backup</x:v>
      </x:c>
      <x:c r="F239" s="28" t="str">
        <x:v>Test OpenNebula backup feature/flow</x:v>
      </x:c>
      <x:c r="G239" s="28" t="str">
        <x:v>Backup test</x:v>
      </x:c>
      <x:c r="H239" s="28" t="str">
        <x:v>Critical</x:v>
      </x:c>
      <x:c r="I239" s="42" t="n">
        <x:f>INDEX('Sprint Plan'!$D$9:$D$20,MATCH(B239,'Sprint Plan'!$A$9:$A$20,0))</x:f>
        <x:v>46288</x:v>
      </x:c>
      <x:c r="J239" s="42" t="n">
        <x:f>INDEX('Sprint Plan'!$E$9:$E$20,MATCH(B239,'Sprint Plan'!$A$9:$A$20,0))</x:f>
        <x:v>46301</x:v>
      </x:c>
      <x:c r="K239" s="28" t="str">
        <x:v>TBD</x:v>
      </x:c>
      <x:c r="L239" s="28" t="str">
        <x:v>Not Started</x:v>
      </x:c>
      <x:c r="M239" s="43" t="n">
        <x:v>0</x:v>
      </x:c>
      <x:c r="N239" s="28" t="n">
        <x:v>1</x:v>
      </x:c>
      <x:c r="O239" s="28" t="str"/>
      <x:c r="P239" s="28" t="str"/>
      <x:c r="Q239" s="28" t="str"/>
      <x:c r="R239" s="28" t="str"/>
      <x:c r="S239" s="28" t="str">
        <x:v>High</x:v>
      </x:c>
      <x:c r="T239" s="28" t="str">
        <x:f>IF(L239="Done","Green",IF(L239="Blocked","Red",IF(TODAY()&gt;J239,"Red",IF(M239&gt;=0.6,"Yellow","Green"))))</x:f>
        <x:v>Green</x:v>
      </x:c>
      <x:c r="U239" s="28" t="str"/>
    </x:row>
    <x:row r="240">
      <x:c r="A240" s="28" t="str">
        <x:v>SV-06-0238</x:v>
      </x:c>
      <x:c r="B240" s="28" t="str">
        <x:v>Sprint 6</x:v>
      </x:c>
      <x:c r="C240" s="28" t="str">
        <x:v>Month 4</x:v>
      </x:c>
      <x:c r="D240" s="28" t="str">
        <x:v>Infra/OpenNebula Engineer</x:v>
      </x:c>
      <x:c r="E240" s="28" t="str">
        <x:v>Manual</x:v>
      </x:c>
      <x:c r="F240" s="28" t="str">
        <x:v>Test manual backup VM</x:v>
      </x:c>
      <x:c r="G240" s="28" t="str">
        <x:v>Backup result</x:v>
      </x:c>
      <x:c r="H240" s="28" t="str">
        <x:v>Critical</x:v>
      </x:c>
      <x:c r="I240" s="42" t="n">
        <x:f>INDEX('Sprint Plan'!$D$9:$D$20,MATCH(B240,'Sprint Plan'!$A$9:$A$20,0))</x:f>
        <x:v>46288</x:v>
      </x:c>
      <x:c r="J240" s="42" t="n">
        <x:f>INDEX('Sprint Plan'!$E$9:$E$20,MATCH(B240,'Sprint Plan'!$A$9:$A$20,0))</x:f>
        <x:v>46301</x:v>
      </x:c>
      <x:c r="K240" s="28" t="str">
        <x:v>TBD</x:v>
      </x:c>
      <x:c r="L240" s="28" t="str">
        <x:v>Not Started</x:v>
      </x:c>
      <x:c r="M240" s="43" t="n">
        <x:v>0</x:v>
      </x:c>
      <x:c r="N240" s="28" t="n">
        <x:v>1</x:v>
      </x:c>
      <x:c r="O240" s="28" t="str"/>
      <x:c r="P240" s="28" t="str"/>
      <x:c r="Q240" s="28" t="str"/>
      <x:c r="R240" s="28" t="str"/>
      <x:c r="S240" s="28" t="str">
        <x:v>High</x:v>
      </x:c>
      <x:c r="T240" s="28" t="str">
        <x:f>IF(L240="Done","Green",IF(L240="Blocked","Red",IF(TODAY()&gt;J240,"Red",IF(M240&gt;=0.6,"Yellow","Green"))))</x:f>
        <x:v>Green</x:v>
      </x:c>
      <x:c r="U240" s="28" t="str"/>
    </x:row>
    <x:row r="241">
      <x:c r="A241" s="28" t="str">
        <x:v>SV-06-0239</x:v>
      </x:c>
      <x:c r="B241" s="28" t="str">
        <x:v>Sprint 6</x:v>
      </x:c>
      <x:c r="C241" s="28" t="str">
        <x:v>Month 4</x:v>
      </x:c>
      <x:c r="D241" s="28" t="str">
        <x:v>Infra/OpenNebula Engineer</x:v>
      </x:c>
      <x:c r="E241" s="28" t="str">
        <x:v>Restore</x:v>
      </x:c>
      <x:c r="F241" s="28" t="str">
        <x:v>Test restore VM</x:v>
      </x:c>
      <x:c r="G241" s="28" t="str">
        <x:v>Restore result</x:v>
      </x:c>
      <x:c r="H241" s="28" t="str">
        <x:v>Critical</x:v>
      </x:c>
      <x:c r="I241" s="42" t="n">
        <x:f>INDEX('Sprint Plan'!$D$9:$D$20,MATCH(B241,'Sprint Plan'!$A$9:$A$20,0))</x:f>
        <x:v>46288</x:v>
      </x:c>
      <x:c r="J241" s="42" t="n">
        <x:f>INDEX('Sprint Plan'!$E$9:$E$20,MATCH(B241,'Sprint Plan'!$A$9:$A$20,0))</x:f>
        <x:v>46301</x:v>
      </x:c>
      <x:c r="K241" s="28" t="str">
        <x:v>TBD</x:v>
      </x:c>
      <x:c r="L241" s="28" t="str">
        <x:v>Not Started</x:v>
      </x:c>
      <x:c r="M241" s="43" t="n">
        <x:v>0</x:v>
      </x:c>
      <x:c r="N241" s="28" t="n">
        <x:v>1</x:v>
      </x:c>
      <x:c r="O241" s="28" t="str"/>
      <x:c r="P241" s="28" t="str"/>
      <x:c r="Q241" s="28" t="str"/>
      <x:c r="R241" s="28" t="str"/>
      <x:c r="S241" s="28" t="str">
        <x:v>High</x:v>
      </x:c>
      <x:c r="T241" s="28" t="str">
        <x:f>IF(L241="Done","Green",IF(L241="Blocked","Red",IF(TODAY()&gt;J241,"Red",IF(M241&gt;=0.6,"Yellow","Green"))))</x:f>
        <x:v>Green</x:v>
      </x:c>
      <x:c r="U241" s="28" t="str"/>
    </x:row>
    <x:row r="242">
      <x:c r="A242" s="28" t="str">
        <x:v>SV-06-0240</x:v>
      </x:c>
      <x:c r="B242" s="28" t="str">
        <x:v>Sprint 6</x:v>
      </x:c>
      <x:c r="C242" s="28" t="str">
        <x:v>Month 4</x:v>
      </x:c>
      <x:c r="D242" s="28" t="str">
        <x:v>Infra/OpenNebula Engineer</x:v>
      </x:c>
      <x:c r="E242" s="28" t="str">
        <x:v>Capacity</x:v>
      </x:c>
      <x:c r="F242" s="28" t="str">
        <x:v>Test backup storage capacity</x:v>
      </x:c>
      <x:c r="G242" s="28" t="str">
        <x:v>Capacity test</x:v>
      </x:c>
      <x:c r="H242" s="28" t="str">
        <x:v>Critical</x:v>
      </x:c>
      <x:c r="I242" s="42" t="n">
        <x:f>INDEX('Sprint Plan'!$D$9:$D$20,MATCH(B242,'Sprint Plan'!$A$9:$A$20,0))</x:f>
        <x:v>46288</x:v>
      </x:c>
      <x:c r="J242" s="42" t="n">
        <x:f>INDEX('Sprint Plan'!$E$9:$E$20,MATCH(B242,'Sprint Plan'!$A$9:$A$20,0))</x:f>
        <x:v>46301</x:v>
      </x:c>
      <x:c r="K242" s="28" t="str">
        <x:v>TBD</x:v>
      </x:c>
      <x:c r="L242" s="28" t="str">
        <x:v>Not Started</x:v>
      </x:c>
      <x:c r="M242" s="43" t="n">
        <x:v>0</x:v>
      </x:c>
      <x:c r="N242" s="28" t="n">
        <x:v>1</x:v>
      </x:c>
      <x:c r="O242" s="28" t="str"/>
      <x:c r="P242" s="28" t="str"/>
      <x:c r="Q242" s="28" t="str"/>
      <x:c r="R242" s="28" t="str"/>
      <x:c r="S242" s="28" t="str">
        <x:v>High</x:v>
      </x:c>
      <x:c r="T242" s="28" t="str">
        <x:f>IF(L242="Done","Green",IF(L242="Blocked","Red",IF(TODAY()&gt;J242,"Red",IF(M242&gt;=0.6,"Yellow","Green"))))</x:f>
        <x:v>Green</x:v>
      </x:c>
      <x:c r="U242" s="28" t="str"/>
    </x:row>
    <x:row r="243">
      <x:c r="A243" s="28" t="str">
        <x:v>SV-06-0241</x:v>
      </x:c>
      <x:c r="B243" s="28" t="str">
        <x:v>Sprint 6</x:v>
      </x:c>
      <x:c r="C243" s="28" t="str">
        <x:v>Month 4</x:v>
      </x:c>
      <x:c r="D243" s="28" t="str">
        <x:v>Backend Engineer</x:v>
      </x:c>
      <x:c r="E243" s="28" t="str">
        <x:v>Policy API</x:v>
      </x:c>
      <x:c r="F243" s="28" t="str">
        <x:v>Implement backup policy API</x:v>
      </x:c>
      <x:c r="G243" s="28" t="str">
        <x:v>Policy API</x:v>
      </x:c>
      <x:c r="H243" s="28" t="str">
        <x:v>Critical</x:v>
      </x:c>
      <x:c r="I243" s="42" t="n">
        <x:f>INDEX('Sprint Plan'!$D$9:$D$20,MATCH(B243,'Sprint Plan'!$A$9:$A$20,0))</x:f>
        <x:v>46288</x:v>
      </x:c>
      <x:c r="J243" s="42" t="n">
        <x:f>INDEX('Sprint Plan'!$E$9:$E$20,MATCH(B243,'Sprint Plan'!$A$9:$A$20,0))</x:f>
        <x:v>46301</x:v>
      </x:c>
      <x:c r="K243" s="28" t="str">
        <x:v>TBD</x:v>
      </x:c>
      <x:c r="L243" s="28" t="str">
        <x:v>Not Started</x:v>
      </x:c>
      <x:c r="M243" s="43" t="n">
        <x:v>0</x:v>
      </x:c>
      <x:c r="N243" s="28" t="n">
        <x:v>1</x:v>
      </x:c>
      <x:c r="O243" s="28" t="str"/>
      <x:c r="P243" s="28" t="str"/>
      <x:c r="Q243" s="28" t="str"/>
      <x:c r="R243" s="28" t="str"/>
      <x:c r="S243" s="28" t="str">
        <x:v>High</x:v>
      </x:c>
      <x:c r="T243" s="28" t="str">
        <x:f>IF(L243="Done","Green",IF(L243="Blocked","Red",IF(TODAY()&gt;J243,"Red",IF(M243&gt;=0.6,"Yellow","Green"))))</x:f>
        <x:v>Green</x:v>
      </x:c>
      <x:c r="U243" s="28" t="str"/>
    </x:row>
    <x:row r="244">
      <x:c r="A244" s="28" t="str">
        <x:v>SV-06-0242</x:v>
      </x:c>
      <x:c r="B244" s="28" t="str">
        <x:v>Sprint 6</x:v>
      </x:c>
      <x:c r="C244" s="28" t="str">
        <x:v>Month 4</x:v>
      </x:c>
      <x:c r="D244" s="28" t="str">
        <x:v>Backend Engineer</x:v>
      </x:c>
      <x:c r="E244" s="28" t="str">
        <x:v>Job API</x:v>
      </x:c>
      <x:c r="F244" s="28" t="str">
        <x:v>Implement backup job API</x:v>
      </x:c>
      <x:c r="G244" s="28" t="str">
        <x:v>Job API</x:v>
      </x:c>
      <x:c r="H244" s="28" t="str">
        <x:v>Critical</x:v>
      </x:c>
      <x:c r="I244" s="42" t="n">
        <x:f>INDEX('Sprint Plan'!$D$9:$D$20,MATCH(B244,'Sprint Plan'!$A$9:$A$20,0))</x:f>
        <x:v>46288</x:v>
      </x:c>
      <x:c r="J244" s="42" t="n">
        <x:f>INDEX('Sprint Plan'!$E$9:$E$20,MATCH(B244,'Sprint Plan'!$A$9:$A$20,0))</x:f>
        <x:v>46301</x:v>
      </x:c>
      <x:c r="K244" s="28" t="str">
        <x:v>TBD</x:v>
      </x:c>
      <x:c r="L244" s="28" t="str">
        <x:v>Not Started</x:v>
      </x:c>
      <x:c r="M244" s="43" t="n">
        <x:v>0</x:v>
      </x:c>
      <x:c r="N244" s="28" t="n">
        <x:v>1</x:v>
      </x:c>
      <x:c r="O244" s="28" t="str"/>
      <x:c r="P244" s="28" t="str"/>
      <x:c r="Q244" s="28" t="str"/>
      <x:c r="R244" s="28" t="str"/>
      <x:c r="S244" s="28" t="str">
        <x:v>High</x:v>
      </x:c>
      <x:c r="T244" s="28" t="str">
        <x:f>IF(L244="Done","Green",IF(L244="Blocked","Red",IF(TODAY()&gt;J244,"Red",IF(M244&gt;=0.6,"Yellow","Green"))))</x:f>
        <x:v>Green</x:v>
      </x:c>
      <x:c r="U244" s="28" t="str"/>
    </x:row>
    <x:row r="245">
      <x:c r="A245" s="28" t="str">
        <x:v>SV-06-0243</x:v>
      </x:c>
      <x:c r="B245" s="28" t="str">
        <x:v>Sprint 6</x:v>
      </x:c>
      <x:c r="C245" s="28" t="str">
        <x:v>Month 4</x:v>
      </x:c>
      <x:c r="D245" s="28" t="str">
        <x:v>Backend Engineer</x:v>
      </x:c>
      <x:c r="E245" s="28" t="str">
        <x:v>Status Sync</x:v>
      </x:c>
      <x:c r="F245" s="28" t="str">
        <x:v>Implement backup status sync</x:v>
      </x:c>
      <x:c r="G245" s="28" t="str">
        <x:v>Status sync</x:v>
      </x:c>
      <x:c r="H245" s="28" t="str">
        <x:v>Critical</x:v>
      </x:c>
      <x:c r="I245" s="42" t="n">
        <x:f>INDEX('Sprint Plan'!$D$9:$D$20,MATCH(B245,'Sprint Plan'!$A$9:$A$20,0))</x:f>
        <x:v>46288</x:v>
      </x:c>
      <x:c r="J245" s="42" t="n">
        <x:f>INDEX('Sprint Plan'!$E$9:$E$20,MATCH(B245,'Sprint Plan'!$A$9:$A$20,0))</x:f>
        <x:v>46301</x:v>
      </x:c>
      <x:c r="K245" s="28" t="str">
        <x:v>TBD</x:v>
      </x:c>
      <x:c r="L245" s="28" t="str">
        <x:v>Not Started</x:v>
      </x:c>
      <x:c r="M245" s="43" t="n">
        <x:v>0</x:v>
      </x:c>
      <x:c r="N245" s="28" t="n">
        <x:v>1</x:v>
      </x:c>
      <x:c r="O245" s="28" t="str"/>
      <x:c r="P245" s="28" t="str"/>
      <x:c r="Q245" s="28" t="str"/>
      <x:c r="R245" s="28" t="str"/>
      <x:c r="S245" s="28" t="str">
        <x:v>High</x:v>
      </x:c>
      <x:c r="T245" s="28" t="str">
        <x:f>IF(L245="Done","Green",IF(L245="Blocked","Red",IF(TODAY()&gt;J245,"Red",IF(M245&gt;=0.6,"Yellow","Green"))))</x:f>
        <x:v>Green</x:v>
      </x:c>
      <x:c r="U245" s="28" t="str"/>
    </x:row>
    <x:row r="246">
      <x:c r="A246" s="28" t="str">
        <x:v>SV-06-0244</x:v>
      </x:c>
      <x:c r="B246" s="28" t="str">
        <x:v>Sprint 6</x:v>
      </x:c>
      <x:c r="C246" s="28" t="str">
        <x:v>Month 4</x:v>
      </x:c>
      <x:c r="D246" s="28" t="str">
        <x:v>Backend Engineer</x:v>
      </x:c>
      <x:c r="E246" s="28" t="str">
        <x:v>Restore Point</x:v>
      </x:c>
      <x:c r="F246" s="28" t="str">
        <x:v>Implement restore point API</x:v>
      </x:c>
      <x:c r="G246" s="28" t="str">
        <x:v>Restore point</x:v>
      </x:c>
      <x:c r="H246" s="28" t="str">
        <x:v>Critical</x:v>
      </x:c>
      <x:c r="I246" s="42" t="n">
        <x:f>INDEX('Sprint Plan'!$D$9:$D$20,MATCH(B246,'Sprint Plan'!$A$9:$A$20,0))</x:f>
        <x:v>46288</x:v>
      </x:c>
      <x:c r="J246" s="42" t="n">
        <x:f>INDEX('Sprint Plan'!$E$9:$E$20,MATCH(B246,'Sprint Plan'!$A$9:$A$20,0))</x:f>
        <x:v>46301</x:v>
      </x:c>
      <x:c r="K246" s="28" t="str">
        <x:v>TBD</x:v>
      </x:c>
      <x:c r="L246" s="28" t="str">
        <x:v>Not Started</x:v>
      </x:c>
      <x:c r="M246" s="43" t="n">
        <x:v>0</x:v>
      </x:c>
      <x:c r="N246" s="28" t="n">
        <x:v>1</x:v>
      </x:c>
      <x:c r="O246" s="28" t="str"/>
      <x:c r="P246" s="28" t="str"/>
      <x:c r="Q246" s="28" t="str"/>
      <x:c r="R246" s="28" t="str"/>
      <x:c r="S246" s="28" t="str">
        <x:v>High</x:v>
      </x:c>
      <x:c r="T246" s="28" t="str">
        <x:f>IF(L246="Done","Green",IF(L246="Blocked","Red",IF(TODAY()&gt;J246,"Red",IF(M246&gt;=0.6,"Yellow","Green"))))</x:f>
        <x:v>Green</x:v>
      </x:c>
      <x:c r="U246" s="28" t="str"/>
    </x:row>
    <x:row r="247">
      <x:c r="A247" s="28" t="str">
        <x:v>SV-06-0245</x:v>
      </x:c>
      <x:c r="B247" s="28" t="str">
        <x:v>Sprint 6</x:v>
      </x:c>
      <x:c r="C247" s="28" t="str">
        <x:v>Month 4</x:v>
      </x:c>
      <x:c r="D247" s="28" t="str">
        <x:v>Backend Engineer</x:v>
      </x:c>
      <x:c r="E247" s="28" t="str">
        <x:v>Compliance</x:v>
      </x:c>
      <x:c r="F247" s="28" t="str">
        <x:v>Implement protection status, compliance score, backup audit</x:v>
      </x:c>
      <x:c r="G247" s="28" t="str">
        <x:v>Compliance API</x:v>
      </x:c>
      <x:c r="H247" s="28" t="str">
        <x:v>Critical</x:v>
      </x:c>
      <x:c r="I247" s="42" t="n">
        <x:f>INDEX('Sprint Plan'!$D$9:$D$20,MATCH(B247,'Sprint Plan'!$A$9:$A$20,0))</x:f>
        <x:v>46288</x:v>
      </x:c>
      <x:c r="J247" s="42" t="n">
        <x:f>INDEX('Sprint Plan'!$E$9:$E$20,MATCH(B247,'Sprint Plan'!$A$9:$A$20,0))</x:f>
        <x:v>46301</x:v>
      </x:c>
      <x:c r="K247" s="28" t="str">
        <x:v>TBD</x:v>
      </x:c>
      <x:c r="L247" s="28" t="str">
        <x:v>Not Started</x:v>
      </x:c>
      <x:c r="M247" s="43" t="n">
        <x:v>0</x:v>
      </x:c>
      <x:c r="N247" s="28" t="n">
        <x:v>1</x:v>
      </x:c>
      <x:c r="O247" s="28" t="str"/>
      <x:c r="P247" s="28" t="str"/>
      <x:c r="Q247" s="28" t="str"/>
      <x:c r="R247" s="28" t="str"/>
      <x:c r="S247" s="28" t="str">
        <x:v>High</x:v>
      </x:c>
      <x:c r="T247" s="28" t="str">
        <x:f>IF(L247="Done","Green",IF(L247="Blocked","Red",IF(TODAY()&gt;J247,"Red",IF(M247&gt;=0.6,"Yellow","Green"))))</x:f>
        <x:v>Green</x:v>
      </x:c>
      <x:c r="U247" s="28" t="str"/>
    </x:row>
    <x:row r="248">
      <x:c r="A248" s="28" t="str">
        <x:v>SV-06-0246</x:v>
      </x:c>
      <x:c r="B248" s="28" t="str">
        <x:v>Sprint 6</x:v>
      </x:c>
      <x:c r="C248" s="28" t="str">
        <x:v>Month 4</x:v>
      </x:c>
      <x:c r="D248" s="28" t="str">
        <x:v>Frontend Engineer</x:v>
      </x:c>
      <x:c r="E248" s="28" t="str">
        <x:v>Dashboard</x:v>
      </x:c>
      <x:c r="F248" s="28" t="str">
        <x:v>Build backup dashboard</x:v>
      </x:c>
      <x:c r="G248" s="28" t="str">
        <x:v>Backup UI</x:v>
      </x:c>
      <x:c r="H248" s="28" t="str">
        <x:v>Critical</x:v>
      </x:c>
      <x:c r="I248" s="42" t="n">
        <x:f>INDEX('Sprint Plan'!$D$9:$D$20,MATCH(B248,'Sprint Plan'!$A$9:$A$20,0))</x:f>
        <x:v>46288</x:v>
      </x:c>
      <x:c r="J248" s="42" t="n">
        <x:f>INDEX('Sprint Plan'!$E$9:$E$20,MATCH(B248,'Sprint Plan'!$A$9:$A$20,0))</x:f>
        <x:v>46301</x:v>
      </x:c>
      <x:c r="K248" s="28" t="str">
        <x:v>TBD</x:v>
      </x:c>
      <x:c r="L248" s="28" t="str">
        <x:v>Not Started</x:v>
      </x:c>
      <x:c r="M248" s="43" t="n">
        <x:v>0</x:v>
      </x:c>
      <x:c r="N248" s="28" t="n">
        <x:v>1</x:v>
      </x:c>
      <x:c r="O248" s="28" t="str"/>
      <x:c r="P248" s="28" t="str"/>
      <x:c r="Q248" s="28" t="str"/>
      <x:c r="R248" s="28" t="str"/>
      <x:c r="S248" s="28" t="str">
        <x:v>High</x:v>
      </x:c>
      <x:c r="T248" s="28" t="str">
        <x:f>IF(L248="Done","Green",IF(L248="Blocked","Red",IF(TODAY()&gt;J248,"Red",IF(M248&gt;=0.6,"Yellow","Green"))))</x:f>
        <x:v>Green</x:v>
      </x:c>
      <x:c r="U248" s="28" t="str"/>
    </x:row>
    <x:row r="249">
      <x:c r="A249" s="28" t="str">
        <x:v>SV-06-0247</x:v>
      </x:c>
      <x:c r="B249" s="28" t="str">
        <x:v>Sprint 6</x:v>
      </x:c>
      <x:c r="C249" s="28" t="str">
        <x:v>Month 4</x:v>
      </x:c>
      <x:c r="D249" s="28" t="str">
        <x:v>Frontend Engineer</x:v>
      </x:c>
      <x:c r="E249" s="28" t="str">
        <x:v>Policy Form</x:v>
      </x:c>
      <x:c r="F249" s="28" t="str">
        <x:v>Build backup policy form</x:v>
      </x:c>
      <x:c r="G249" s="28" t="str">
        <x:v>Policy form</x:v>
      </x:c>
      <x:c r="H249" s="28" t="str">
        <x:v>Critical</x:v>
      </x:c>
      <x:c r="I249" s="42" t="n">
        <x:f>INDEX('Sprint Plan'!$D$9:$D$20,MATCH(B249,'Sprint Plan'!$A$9:$A$20,0))</x:f>
        <x:v>46288</x:v>
      </x:c>
      <x:c r="J249" s="42" t="n">
        <x:f>INDEX('Sprint Plan'!$E$9:$E$20,MATCH(B249,'Sprint Plan'!$A$9:$A$20,0))</x:f>
        <x:v>46301</x:v>
      </x:c>
      <x:c r="K249" s="28" t="str">
        <x:v>TBD</x:v>
      </x:c>
      <x:c r="L249" s="28" t="str">
        <x:v>Not Started</x:v>
      </x:c>
      <x:c r="M249" s="43" t="n">
        <x:v>0</x:v>
      </x:c>
      <x:c r="N249" s="28" t="n">
        <x:v>1</x:v>
      </x:c>
      <x:c r="O249" s="28" t="str"/>
      <x:c r="P249" s="28" t="str"/>
      <x:c r="Q249" s="28" t="str"/>
      <x:c r="R249" s="28" t="str"/>
      <x:c r="S249" s="28" t="str">
        <x:v>High</x:v>
      </x:c>
      <x:c r="T249" s="28" t="str">
        <x:f>IF(L249="Done","Green",IF(L249="Blocked","Red",IF(TODAY()&gt;J249,"Red",IF(M249&gt;=0.6,"Yellow","Green"))))</x:f>
        <x:v>Green</x:v>
      </x:c>
      <x:c r="U249" s="28" t="str"/>
    </x:row>
    <x:row r="250">
      <x:c r="A250" s="28" t="str">
        <x:v>SV-06-0248</x:v>
      </x:c>
      <x:c r="B250" s="28" t="str">
        <x:v>Sprint 6</x:v>
      </x:c>
      <x:c r="C250" s="28" t="str">
        <x:v>Month 4</x:v>
      </x:c>
      <x:c r="D250" s="28" t="str">
        <x:v>Frontend Engineer</x:v>
      </x:c>
      <x:c r="E250" s="28" t="str">
        <x:v>Badge</x:v>
      </x:c>
      <x:c r="F250" s="28" t="str">
        <x:v>Build VM protection badge</x:v>
      </x:c>
      <x:c r="G250" s="28" t="str">
        <x:v>Protection badge</x:v>
      </x:c>
      <x:c r="H250" s="28" t="str">
        <x:v>Critical</x:v>
      </x:c>
      <x:c r="I250" s="42" t="n">
        <x:f>INDEX('Sprint Plan'!$D$9:$D$20,MATCH(B250,'Sprint Plan'!$A$9:$A$20,0))</x:f>
        <x:v>46288</x:v>
      </x:c>
      <x:c r="J250" s="42" t="n">
        <x:f>INDEX('Sprint Plan'!$E$9:$E$20,MATCH(B250,'Sprint Plan'!$A$9:$A$20,0))</x:f>
        <x:v>46301</x:v>
      </x:c>
      <x:c r="K250" s="28" t="str">
        <x:v>TBD</x:v>
      </x:c>
      <x:c r="L250" s="28" t="str">
        <x:v>Not Started</x:v>
      </x:c>
      <x:c r="M250" s="43" t="n">
        <x:v>0</x:v>
      </x:c>
      <x:c r="N250" s="28" t="n">
        <x:v>1</x:v>
      </x:c>
      <x:c r="O250" s="28" t="str"/>
      <x:c r="P250" s="28" t="str"/>
      <x:c r="Q250" s="28" t="str"/>
      <x:c r="R250" s="28" t="str"/>
      <x:c r="S250" s="28" t="str">
        <x:v>High</x:v>
      </x:c>
      <x:c r="T250" s="28" t="str">
        <x:f>IF(L250="Done","Green",IF(L250="Blocked","Red",IF(TODAY()&gt;J250,"Red",IF(M250&gt;=0.6,"Yellow","Green"))))</x:f>
        <x:v>Green</x:v>
      </x:c>
      <x:c r="U250" s="28" t="str"/>
    </x:row>
    <x:row r="251">
      <x:c r="A251" s="28" t="str">
        <x:v>SV-06-0249</x:v>
      </x:c>
      <x:c r="B251" s="28" t="str">
        <x:v>Sprint 6</x:v>
      </x:c>
      <x:c r="C251" s="28" t="str">
        <x:v>Month 4</x:v>
      </x:c>
      <x:c r="D251" s="28" t="str">
        <x:v>Frontend Engineer</x:v>
      </x:c>
      <x:c r="E251" s="28" t="str">
        <x:v>Job List</x:v>
      </x:c>
      <x:c r="F251" s="28" t="str">
        <x:v>Build backup job list</x:v>
      </x:c>
      <x:c r="G251" s="28" t="str">
        <x:v>Job list</x:v>
      </x:c>
      <x:c r="H251" s="28" t="str">
        <x:v>Critical</x:v>
      </x:c>
      <x:c r="I251" s="42" t="n">
        <x:f>INDEX('Sprint Plan'!$D$9:$D$20,MATCH(B251,'Sprint Plan'!$A$9:$A$20,0))</x:f>
        <x:v>46288</x:v>
      </x:c>
      <x:c r="J251" s="42" t="n">
        <x:f>INDEX('Sprint Plan'!$E$9:$E$20,MATCH(B251,'Sprint Plan'!$A$9:$A$20,0))</x:f>
        <x:v>46301</x:v>
      </x:c>
      <x:c r="K251" s="28" t="str">
        <x:v>TBD</x:v>
      </x:c>
      <x:c r="L251" s="28" t="str">
        <x:v>Not Started</x:v>
      </x:c>
      <x:c r="M251" s="43" t="n">
        <x:v>0</x:v>
      </x:c>
      <x:c r="N251" s="28" t="n">
        <x:v>1</x:v>
      </x:c>
      <x:c r="O251" s="28" t="str"/>
      <x:c r="P251" s="28" t="str"/>
      <x:c r="Q251" s="28" t="str"/>
      <x:c r="R251" s="28" t="str"/>
      <x:c r="S251" s="28" t="str">
        <x:v>High</x:v>
      </x:c>
      <x:c r="T251" s="28" t="str">
        <x:f>IF(L251="Done","Green",IF(L251="Blocked","Red",IF(TODAY()&gt;J251,"Red",IF(M251&gt;=0.6,"Yellow","Green"))))</x:f>
        <x:v>Green</x:v>
      </x:c>
      <x:c r="U251" s="28" t="str"/>
    </x:row>
    <x:row r="252">
      <x:c r="A252" s="28" t="str">
        <x:v>SV-06-0250</x:v>
      </x:c>
      <x:c r="B252" s="28" t="str">
        <x:v>Sprint 6</x:v>
      </x:c>
      <x:c r="C252" s="28" t="str">
        <x:v>Month 4</x:v>
      </x:c>
      <x:c r="D252" s="28" t="str">
        <x:v>Frontend Engineer</x:v>
      </x:c>
      <x:c r="E252" s="28" t="str">
        <x:v>Compliance</x:v>
      </x:c>
      <x:c r="F252" s="28" t="str">
        <x:v>Build restore point list and compliance score view</x:v>
      </x:c>
      <x:c r="G252" s="28" t="str">
        <x:v>Restore/compliance UI</x:v>
      </x:c>
      <x:c r="H252" s="28" t="str">
        <x:v>Critical</x:v>
      </x:c>
      <x:c r="I252" s="42" t="n">
        <x:f>INDEX('Sprint Plan'!$D$9:$D$20,MATCH(B252,'Sprint Plan'!$A$9:$A$20,0))</x:f>
        <x:v>46288</x:v>
      </x:c>
      <x:c r="J252" s="42" t="n">
        <x:f>INDEX('Sprint Plan'!$E$9:$E$20,MATCH(B252,'Sprint Plan'!$A$9:$A$20,0))</x:f>
        <x:v>46301</x:v>
      </x:c>
      <x:c r="K252" s="28" t="str">
        <x:v>TBD</x:v>
      </x:c>
      <x:c r="L252" s="28" t="str">
        <x:v>Not Started</x:v>
      </x:c>
      <x:c r="M252" s="43" t="n">
        <x:v>0</x:v>
      </x:c>
      <x:c r="N252" s="28" t="n">
        <x:v>1</x:v>
      </x:c>
      <x:c r="O252" s="28" t="str"/>
      <x:c r="P252" s="28" t="str"/>
      <x:c r="Q252" s="28" t="str"/>
      <x:c r="R252" s="28" t="str"/>
      <x:c r="S252" s="28" t="str">
        <x:v>High</x:v>
      </x:c>
      <x:c r="T252" s="28" t="str">
        <x:f>IF(L252="Done","Green",IF(L252="Blocked","Red",IF(TODAY()&gt;J252,"Red",IF(M252&gt;=0.6,"Yellow","Green"))))</x:f>
        <x:v>Green</x:v>
      </x:c>
      <x:c r="U252" s="28" t="str"/>
    </x:row>
    <x:row r="253">
      <x:c r="A253" s="28" t="str">
        <x:v>SV-06-0251</x:v>
      </x:c>
      <x:c r="B253" s="28" t="str">
        <x:v>Sprint 6</x:v>
      </x:c>
      <x:c r="C253" s="28" t="str">
        <x:v>Month 4</x:v>
      </x:c>
      <x:c r="D253" s="28" t="str">
        <x:v>QA/Tester</x:v>
      </x:c>
      <x:c r="E253" s="28" t="str">
        <x:v>Policy</x:v>
      </x:c>
      <x:c r="F253" s="28" t="str">
        <x:v>Test backup policy create</x:v>
      </x:c>
      <x:c r="G253" s="28" t="str">
        <x:v>Policy test</x:v>
      </x:c>
      <x:c r="H253" s="28" t="str">
        <x:v>Critical</x:v>
      </x:c>
      <x:c r="I253" s="42" t="n">
        <x:f>INDEX('Sprint Plan'!$D$9:$D$20,MATCH(B253,'Sprint Plan'!$A$9:$A$20,0))</x:f>
        <x:v>46288</x:v>
      </x:c>
      <x:c r="J253" s="42" t="n">
        <x:f>INDEX('Sprint Plan'!$E$9:$E$20,MATCH(B253,'Sprint Plan'!$A$9:$A$20,0))</x:f>
        <x:v>46301</x:v>
      </x:c>
      <x:c r="K253" s="28" t="str">
        <x:v>TBD</x:v>
      </x:c>
      <x:c r="L253" s="28" t="str">
        <x:v>Not Started</x:v>
      </x:c>
      <x:c r="M253" s="43" t="n">
        <x:v>0</x:v>
      </x:c>
      <x:c r="N253" s="28" t="n">
        <x:v>1</x:v>
      </x:c>
      <x:c r="O253" s="28" t="str"/>
      <x:c r="P253" s="28" t="str"/>
      <x:c r="Q253" s="28" t="str"/>
      <x:c r="R253" s="28" t="str"/>
      <x:c r="S253" s="28" t="str">
        <x:v>High</x:v>
      </x:c>
      <x:c r="T253" s="28" t="str">
        <x:f>IF(L253="Done","Green",IF(L253="Blocked","Red",IF(TODAY()&gt;J253,"Red",IF(M253&gt;=0.6,"Yellow","Green"))))</x:f>
        <x:v>Green</x:v>
      </x:c>
      <x:c r="U253" s="28" t="str"/>
    </x:row>
    <x:row r="254">
      <x:c r="A254" s="28" t="str">
        <x:v>SV-06-0252</x:v>
      </x:c>
      <x:c r="B254" s="28" t="str">
        <x:v>Sprint 6</x:v>
      </x:c>
      <x:c r="C254" s="28" t="str">
        <x:v>Month 4</x:v>
      </x:c>
      <x:c r="D254" s="28" t="str">
        <x:v>QA/Tester</x:v>
      </x:c>
      <x:c r="E254" s="28" t="str">
        <x:v>Job</x:v>
      </x:c>
      <x:c r="F254" s="28" t="str">
        <x:v>Test backup job</x:v>
      </x:c>
      <x:c r="G254" s="28" t="str">
        <x:v>Backup test</x:v>
      </x:c>
      <x:c r="H254" s="28" t="str">
        <x:v>Critical</x:v>
      </x:c>
      <x:c r="I254" s="42" t="n">
        <x:f>INDEX('Sprint Plan'!$D$9:$D$20,MATCH(B254,'Sprint Plan'!$A$9:$A$20,0))</x:f>
        <x:v>46288</x:v>
      </x:c>
      <x:c r="J254" s="42" t="n">
        <x:f>INDEX('Sprint Plan'!$E$9:$E$20,MATCH(B254,'Sprint Plan'!$A$9:$A$20,0))</x:f>
        <x:v>46301</x:v>
      </x:c>
      <x:c r="K254" s="28" t="str">
        <x:v>TBD</x:v>
      </x:c>
      <x:c r="L254" s="28" t="str">
        <x:v>Not Started</x:v>
      </x:c>
      <x:c r="M254" s="43" t="n">
        <x:v>0</x:v>
      </x:c>
      <x:c r="N254" s="28" t="n">
        <x:v>1</x:v>
      </x:c>
      <x:c r="O254" s="28" t="str"/>
      <x:c r="P254" s="28" t="str"/>
      <x:c r="Q254" s="28" t="str"/>
      <x:c r="R254" s="28" t="str"/>
      <x:c r="S254" s="28" t="str">
        <x:v>High</x:v>
      </x:c>
      <x:c r="T254" s="28" t="str">
        <x:f>IF(L254="Done","Green",IF(L254="Blocked","Red",IF(TODAY()&gt;J254,"Red",IF(M254&gt;=0.6,"Yellow","Green"))))</x:f>
        <x:v>Green</x:v>
      </x:c>
      <x:c r="U254" s="28" t="str"/>
    </x:row>
    <x:row r="255">
      <x:c r="A255" s="28" t="str">
        <x:v>SV-06-0253</x:v>
      </x:c>
      <x:c r="B255" s="28" t="str">
        <x:v>Sprint 6</x:v>
      </x:c>
      <x:c r="C255" s="28" t="str">
        <x:v>Month 4</x:v>
      </x:c>
      <x:c r="D255" s="28" t="str">
        <x:v>QA/Tester</x:v>
      </x:c>
      <x:c r="E255" s="28" t="str">
        <x:v>Failure</x:v>
      </x:c>
      <x:c r="F255" s="28" t="str">
        <x:v>Test failed backup scenario</x:v>
      </x:c>
      <x:c r="G255" s="28" t="str">
        <x:v>Failure test</x:v>
      </x:c>
      <x:c r="H255" s="28" t="str">
        <x:v>Critical</x:v>
      </x:c>
      <x:c r="I255" s="42" t="n">
        <x:f>INDEX('Sprint Plan'!$D$9:$D$20,MATCH(B255,'Sprint Plan'!$A$9:$A$20,0))</x:f>
        <x:v>46288</x:v>
      </x:c>
      <x:c r="J255" s="42" t="n">
        <x:f>INDEX('Sprint Plan'!$E$9:$E$20,MATCH(B255,'Sprint Plan'!$A$9:$A$20,0))</x:f>
        <x:v>46301</x:v>
      </x:c>
      <x:c r="K255" s="28" t="str">
        <x:v>TBD</x:v>
      </x:c>
      <x:c r="L255" s="28" t="str">
        <x:v>Not Started</x:v>
      </x:c>
      <x:c r="M255" s="43" t="n">
        <x:v>0</x:v>
      </x:c>
      <x:c r="N255" s="28" t="n">
        <x:v>1</x:v>
      </x:c>
      <x:c r="O255" s="28" t="str"/>
      <x:c r="P255" s="28" t="str"/>
      <x:c r="Q255" s="28" t="str"/>
      <x:c r="R255" s="28" t="str"/>
      <x:c r="S255" s="28" t="str">
        <x:v>High</x:v>
      </x:c>
      <x:c r="T255" s="28" t="str">
        <x:f>IF(L255="Done","Green",IF(L255="Blocked","Red",IF(TODAY()&gt;J255,"Red",IF(M255&gt;=0.6,"Yellow","Green"))))</x:f>
        <x:v>Green</x:v>
      </x:c>
      <x:c r="U255" s="28" t="str"/>
    </x:row>
    <x:row r="256">
      <x:c r="A256" s="28" t="str">
        <x:v>SV-06-0254</x:v>
      </x:c>
      <x:c r="B256" s="28" t="str">
        <x:v>Sprint 6</x:v>
      </x:c>
      <x:c r="C256" s="28" t="str">
        <x:v>Month 4</x:v>
      </x:c>
      <x:c r="D256" s="28" t="str">
        <x:v>QA/Tester</x:v>
      </x:c>
      <x:c r="E256" s="28" t="str">
        <x:v>Restore</x:v>
      </x:c>
      <x:c r="F256" s="28" t="str">
        <x:v>Test restore point display</x:v>
      </x:c>
      <x:c r="G256" s="28" t="str">
        <x:v>Restore UI test</x:v>
      </x:c>
      <x:c r="H256" s="28" t="str">
        <x:v>Critical</x:v>
      </x:c>
      <x:c r="I256" s="42" t="n">
        <x:f>INDEX('Sprint Plan'!$D$9:$D$20,MATCH(B256,'Sprint Plan'!$A$9:$A$20,0))</x:f>
        <x:v>46288</x:v>
      </x:c>
      <x:c r="J256" s="42" t="n">
        <x:f>INDEX('Sprint Plan'!$E$9:$E$20,MATCH(B256,'Sprint Plan'!$A$9:$A$20,0))</x:f>
        <x:v>46301</x:v>
      </x:c>
      <x:c r="K256" s="28" t="str">
        <x:v>TBD</x:v>
      </x:c>
      <x:c r="L256" s="28" t="str">
        <x:v>Not Started</x:v>
      </x:c>
      <x:c r="M256" s="43" t="n">
        <x:v>0</x:v>
      </x:c>
      <x:c r="N256" s="28" t="n">
        <x:v>1</x:v>
      </x:c>
      <x:c r="O256" s="28" t="str"/>
      <x:c r="P256" s="28" t="str"/>
      <x:c r="Q256" s="28" t="str"/>
      <x:c r="R256" s="28" t="str"/>
      <x:c r="S256" s="28" t="str">
        <x:v>High</x:v>
      </x:c>
      <x:c r="T256" s="28" t="str">
        <x:f>IF(L256="Done","Green",IF(L256="Blocked","Red",IF(TODAY()&gt;J256,"Red",IF(M256&gt;=0.6,"Yellow","Green"))))</x:f>
        <x:v>Green</x:v>
      </x:c>
      <x:c r="U256" s="28" t="str"/>
    </x:row>
    <x:row r="257">
      <x:c r="A257" s="28" t="str">
        <x:v>SV-06-0255</x:v>
      </x:c>
      <x:c r="B257" s="28" t="str">
        <x:v>Sprint 6</x:v>
      </x:c>
      <x:c r="C257" s="28" t="str">
        <x:v>Month 4</x:v>
      </x:c>
      <x:c r="D257" s="28" t="str">
        <x:v>QA/Tester</x:v>
      </x:c>
      <x:c r="E257" s="28" t="str">
        <x:v>Compliance</x:v>
      </x:c>
      <x:c r="F257" s="28" t="str">
        <x:v>Test compliance logic and audit</x:v>
      </x:c>
      <x:c r="G257" s="28" t="str">
        <x:v>Compliance/audit test</x:v>
      </x:c>
      <x:c r="H257" s="28" t="str">
        <x:v>Critical</x:v>
      </x:c>
      <x:c r="I257" s="42" t="n">
        <x:f>INDEX('Sprint Plan'!$D$9:$D$20,MATCH(B257,'Sprint Plan'!$A$9:$A$20,0))</x:f>
        <x:v>46288</x:v>
      </x:c>
      <x:c r="J257" s="42" t="n">
        <x:f>INDEX('Sprint Plan'!$E$9:$E$20,MATCH(B257,'Sprint Plan'!$A$9:$A$20,0))</x:f>
        <x:v>46301</x:v>
      </x:c>
      <x:c r="K257" s="28" t="str">
        <x:v>TBD</x:v>
      </x:c>
      <x:c r="L257" s="28" t="str">
        <x:v>Not Started</x:v>
      </x:c>
      <x:c r="M257" s="43" t="n">
        <x:v>0</x:v>
      </x:c>
      <x:c r="N257" s="28" t="n">
        <x:v>1</x:v>
      </x:c>
      <x:c r="O257" s="28" t="str"/>
      <x:c r="P257" s="28" t="str"/>
      <x:c r="Q257" s="28" t="str"/>
      <x:c r="R257" s="28" t="str"/>
      <x:c r="S257" s="28" t="str">
        <x:v>High</x:v>
      </x:c>
      <x:c r="T257" s="28" t="str">
        <x:f>IF(L257="Done","Green",IF(L257="Blocked","Red",IF(TODAY()&gt;J257,"Red",IF(M257&gt;=0.6,"Yellow","Green"))))</x:f>
        <x:v>Green</x:v>
      </x:c>
      <x:c r="U257" s="28" t="str"/>
    </x:row>
    <x:row r="258">
      <x:c r="A258" s="28" t="str">
        <x:v>SV-06-0256</x:v>
      </x:c>
      <x:c r="B258" s="28" t="str">
        <x:v>Sprint 6</x:v>
      </x:c>
      <x:c r="C258" s="28" t="str">
        <x:v>Month 4</x:v>
      </x:c>
      <x:c r="D258" s="28" t="str">
        <x:v>Technical Writer</x:v>
      </x:c>
      <x:c r="E258" s="28" t="str">
        <x:v>Backup SOP</x:v>
      </x:c>
      <x:c r="F258" s="28" t="str">
        <x:v>SOP backup</x:v>
      </x:c>
      <x:c r="G258" s="28" t="str">
        <x:v>Backup SOP</x:v>
      </x:c>
      <x:c r="H258" s="28" t="str">
        <x:v>Critical</x:v>
      </x:c>
      <x:c r="I258" s="42" t="n">
        <x:f>INDEX('Sprint Plan'!$D$9:$D$20,MATCH(B258,'Sprint Plan'!$A$9:$A$20,0))</x:f>
        <x:v>46288</x:v>
      </x:c>
      <x:c r="J258" s="42" t="n">
        <x:f>INDEX('Sprint Plan'!$E$9:$E$20,MATCH(B258,'Sprint Plan'!$A$9:$A$20,0))</x:f>
        <x:v>46301</x:v>
      </x:c>
      <x:c r="K258" s="28" t="str">
        <x:v>TBD</x:v>
      </x:c>
      <x:c r="L258" s="28" t="str">
        <x:v>Not Started</x:v>
      </x:c>
      <x:c r="M258" s="43" t="n">
        <x:v>0</x:v>
      </x:c>
      <x:c r="N258" s="28" t="n">
        <x:v>1</x:v>
      </x:c>
      <x:c r="O258" s="28" t="str"/>
      <x:c r="P258" s="28" t="str"/>
      <x:c r="Q258" s="28" t="str"/>
      <x:c r="R258" s="28" t="str"/>
      <x:c r="S258" s="28" t="str">
        <x:v>High</x:v>
      </x:c>
      <x:c r="T258" s="28" t="str">
        <x:f>IF(L258="Done","Green",IF(L258="Blocked","Red",IF(TODAY()&gt;J258,"Red",IF(M258&gt;=0.6,"Yellow","Green"))))</x:f>
        <x:v>Green</x:v>
      </x:c>
      <x:c r="U258" s="28" t="str"/>
    </x:row>
    <x:row r="259">
      <x:c r="A259" s="28" t="str">
        <x:v>SV-06-0257</x:v>
      </x:c>
      <x:c r="B259" s="28" t="str">
        <x:v>Sprint 6</x:v>
      </x:c>
      <x:c r="C259" s="28" t="str">
        <x:v>Month 4</x:v>
      </x:c>
      <x:c r="D259" s="28" t="str">
        <x:v>Technical Writer</x:v>
      </x:c>
      <x:c r="E259" s="28" t="str">
        <x:v>Restore SOP</x:v>
      </x:c>
      <x:c r="F259" s="28" t="str">
        <x:v>SOP restore</x:v>
      </x:c>
      <x:c r="G259" s="28" t="str">
        <x:v>Restore SOP</x:v>
      </x:c>
      <x:c r="H259" s="28" t="str">
        <x:v>Critical</x:v>
      </x:c>
      <x:c r="I259" s="42" t="n">
        <x:f>INDEX('Sprint Plan'!$D$9:$D$20,MATCH(B259,'Sprint Plan'!$A$9:$A$20,0))</x:f>
        <x:v>46288</x:v>
      </x:c>
      <x:c r="J259" s="42" t="n">
        <x:f>INDEX('Sprint Plan'!$E$9:$E$20,MATCH(B259,'Sprint Plan'!$A$9:$A$20,0))</x:f>
        <x:v>46301</x:v>
      </x:c>
      <x:c r="K259" s="28" t="str">
        <x:v>TBD</x:v>
      </x:c>
      <x:c r="L259" s="28" t="str">
        <x:v>Not Started</x:v>
      </x:c>
      <x:c r="M259" s="43" t="n">
        <x:v>0</x:v>
      </x:c>
      <x:c r="N259" s="28" t="n">
        <x:v>1</x:v>
      </x:c>
      <x:c r="O259" s="28" t="str"/>
      <x:c r="P259" s="28" t="str"/>
      <x:c r="Q259" s="28" t="str"/>
      <x:c r="R259" s="28" t="str"/>
      <x:c r="S259" s="28" t="str">
        <x:v>High</x:v>
      </x:c>
      <x:c r="T259" s="28" t="str">
        <x:f>IF(L259="Done","Green",IF(L259="Blocked","Red",IF(TODAY()&gt;J259,"Red",IF(M259&gt;=0.6,"Yellow","Green"))))</x:f>
        <x:v>Green</x:v>
      </x:c>
      <x:c r="U259" s="28" t="str"/>
    </x:row>
    <x:row r="260">
      <x:c r="A260" s="28" t="str">
        <x:v>SV-06-0258</x:v>
      </x:c>
      <x:c r="B260" s="28" t="str">
        <x:v>Sprint 6</x:v>
      </x:c>
      <x:c r="C260" s="28" t="str">
        <x:v>Month 4</x:v>
      </x:c>
      <x:c r="D260" s="28" t="str">
        <x:v>Technical Writer</x:v>
      </x:c>
      <x:c r="E260" s="28" t="str">
        <x:v>Governance</x:v>
      </x:c>
      <x:c r="F260" s="28" t="str">
        <x:v>Backup governance guide</x:v>
      </x:c>
      <x:c r="G260" s="28" t="str">
        <x:v>Governance guide</x:v>
      </x:c>
      <x:c r="H260" s="28" t="str">
        <x:v>Critical</x:v>
      </x:c>
      <x:c r="I260" s="42" t="n">
        <x:f>INDEX('Sprint Plan'!$D$9:$D$20,MATCH(B260,'Sprint Plan'!$A$9:$A$20,0))</x:f>
        <x:v>46288</x:v>
      </x:c>
      <x:c r="J260" s="42" t="n">
        <x:f>INDEX('Sprint Plan'!$E$9:$E$20,MATCH(B260,'Sprint Plan'!$A$9:$A$20,0))</x:f>
        <x:v>46301</x:v>
      </x:c>
      <x:c r="K260" s="28" t="str">
        <x:v>TBD</x:v>
      </x:c>
      <x:c r="L260" s="28" t="str">
        <x:v>Not Started</x:v>
      </x:c>
      <x:c r="M260" s="43" t="n">
        <x:v>0</x:v>
      </x:c>
      <x:c r="N260" s="28" t="n">
        <x:v>1</x:v>
      </x:c>
      <x:c r="O260" s="28" t="str"/>
      <x:c r="P260" s="28" t="str"/>
      <x:c r="Q260" s="28" t="str"/>
      <x:c r="R260" s="28" t="str"/>
      <x:c r="S260" s="28" t="str">
        <x:v>High</x:v>
      </x:c>
      <x:c r="T260" s="28" t="str">
        <x:f>IF(L260="Done","Green",IF(L260="Blocked","Red",IF(TODAY()&gt;J260,"Red",IF(M260&gt;=0.6,"Yellow","Green"))))</x:f>
        <x:v>Green</x:v>
      </x:c>
      <x:c r="U260" s="28" t="str"/>
    </x:row>
    <x:row r="261">
      <x:c r="A261" s="28" t="str">
        <x:v>SV-06-0259</x:v>
      </x:c>
      <x:c r="B261" s="28" t="str">
        <x:v>Sprint 6</x:v>
      </x:c>
      <x:c r="C261" s="28" t="str">
        <x:v>Month 4</x:v>
      </x:c>
      <x:c r="D261" s="28" t="str">
        <x:v>Technical Writer</x:v>
      </x:c>
      <x:c r="E261" s="28" t="str">
        <x:v>Report</x:v>
      </x:c>
      <x:c r="F261" s="28" t="str">
        <x:v>Backup compliance report template</x:v>
      </x:c>
      <x:c r="G261" s="28" t="str">
        <x:v>Report template</x:v>
      </x:c>
      <x:c r="H261" s="28" t="str">
        <x:v>Critical</x:v>
      </x:c>
      <x:c r="I261" s="42" t="n">
        <x:f>INDEX('Sprint Plan'!$D$9:$D$20,MATCH(B261,'Sprint Plan'!$A$9:$A$20,0))</x:f>
        <x:v>46288</x:v>
      </x:c>
      <x:c r="J261" s="42" t="n">
        <x:f>INDEX('Sprint Plan'!$E$9:$E$20,MATCH(B261,'Sprint Plan'!$A$9:$A$20,0))</x:f>
        <x:v>46301</x:v>
      </x:c>
      <x:c r="K261" s="28" t="str">
        <x:v>TBD</x:v>
      </x:c>
      <x:c r="L261" s="28" t="str">
        <x:v>Not Started</x:v>
      </x:c>
      <x:c r="M261" s="43" t="n">
        <x:v>0</x:v>
      </x:c>
      <x:c r="N261" s="28" t="n">
        <x:v>1</x:v>
      </x:c>
      <x:c r="O261" s="28" t="str"/>
      <x:c r="P261" s="28" t="str"/>
      <x:c r="Q261" s="28" t="str"/>
      <x:c r="R261" s="28" t="str"/>
      <x:c r="S261" s="28" t="str">
        <x:v>High</x:v>
      </x:c>
      <x:c r="T261" s="28" t="str">
        <x:f>IF(L261="Done","Green",IF(L261="Blocked","Red",IF(TODAY()&gt;J261,"Red",IF(M261&gt;=0.6,"Yellow","Green"))))</x:f>
        <x:v>Green</x:v>
      </x:c>
      <x:c r="U261" s="28" t="str"/>
    </x:row>
    <x:row r="262">
      <x:c r="A262" s="28" t="str">
        <x:v>SV-06-0260</x:v>
      </x:c>
      <x:c r="B262" s="28" t="str">
        <x:v>Sprint 6</x:v>
      </x:c>
      <x:c r="C262" s="28" t="str">
        <x:v>Month 4</x:v>
      </x:c>
      <x:c r="D262" s="28" t="str">
        <x:v>Sales/Marketing/Presales</x:v>
      </x:c>
      <x:c r="E262" s="28" t="str">
        <x:v>Value Prop</x:v>
      </x:c>
      <x:c r="F262" s="28" t="str">
        <x:v>Buat value proposition backup governance</x:v>
      </x:c>
      <x:c r="G262" s="28" t="str">
        <x:v>Value prop</x:v>
      </x:c>
      <x:c r="H262" s="28" t="str">
        <x:v>Critical</x:v>
      </x:c>
      <x:c r="I262" s="42" t="n">
        <x:f>INDEX('Sprint Plan'!$D$9:$D$20,MATCH(B262,'Sprint Plan'!$A$9:$A$20,0))</x:f>
        <x:v>46288</x:v>
      </x:c>
      <x:c r="J262" s="42" t="n">
        <x:f>INDEX('Sprint Plan'!$E$9:$E$20,MATCH(B262,'Sprint Plan'!$A$9:$A$20,0))</x:f>
        <x:v>46301</x:v>
      </x:c>
      <x:c r="K262" s="28" t="str">
        <x:v>TBD</x:v>
      </x:c>
      <x:c r="L262" s="28" t="str">
        <x:v>Not Started</x:v>
      </x:c>
      <x:c r="M262" s="43" t="n">
        <x:v>0</x:v>
      </x:c>
      <x:c r="N262" s="28" t="n">
        <x:v>1</x:v>
      </x:c>
      <x:c r="O262" s="28" t="str"/>
      <x:c r="P262" s="28" t="str"/>
      <x:c r="Q262" s="28" t="str"/>
      <x:c r="R262" s="28" t="str"/>
      <x:c r="S262" s="28" t="str">
        <x:v>High</x:v>
      </x:c>
      <x:c r="T262" s="28" t="str">
        <x:f>IF(L262="Done","Green",IF(L262="Blocked","Red",IF(TODAY()&gt;J262,"Red",IF(M262&gt;=0.6,"Yellow","Green"))))</x:f>
        <x:v>Green</x:v>
      </x:c>
      <x:c r="U262" s="28" t="str"/>
    </x:row>
    <x:row r="263">
      <x:c r="A263" s="28" t="str">
        <x:v>SV-06-0261</x:v>
      </x:c>
      <x:c r="B263" s="28" t="str">
        <x:v>Sprint 6</x:v>
      </x:c>
      <x:c r="C263" s="28" t="str">
        <x:v>Month 4</x:v>
      </x:c>
      <x:c r="D263" s="28" t="str">
        <x:v>Sales/Marketing/Presales</x:v>
      </x:c>
      <x:c r="E263" s="28" t="str">
        <x:v>Narrative</x:v>
      </x:c>
      <x:c r="F263" s="28" t="str">
        <x:v>Buat narasi VM tanpa backup adalah risiko</x:v>
      </x:c>
      <x:c r="G263" s="28" t="str">
        <x:v>Narrative</x:v>
      </x:c>
      <x:c r="H263" s="28" t="str">
        <x:v>Critical</x:v>
      </x:c>
      <x:c r="I263" s="42" t="n">
        <x:f>INDEX('Sprint Plan'!$D$9:$D$20,MATCH(B263,'Sprint Plan'!$A$9:$A$20,0))</x:f>
        <x:v>46288</x:v>
      </x:c>
      <x:c r="J263" s="42" t="n">
        <x:f>INDEX('Sprint Plan'!$E$9:$E$20,MATCH(B263,'Sprint Plan'!$A$9:$A$20,0))</x:f>
        <x:v>46301</x:v>
      </x:c>
      <x:c r="K263" s="28" t="str">
        <x:v>TBD</x:v>
      </x:c>
      <x:c r="L263" s="28" t="str">
        <x:v>Not Started</x:v>
      </x:c>
      <x:c r="M263" s="43" t="n">
        <x:v>0</x:v>
      </x:c>
      <x:c r="N263" s="28" t="n">
        <x:v>1</x:v>
      </x:c>
      <x:c r="O263" s="28" t="str"/>
      <x:c r="P263" s="28" t="str"/>
      <x:c r="Q263" s="28" t="str"/>
      <x:c r="R263" s="28" t="str"/>
      <x:c r="S263" s="28" t="str">
        <x:v>High</x:v>
      </x:c>
      <x:c r="T263" s="28" t="str">
        <x:f>IF(L263="Done","Green",IF(L263="Blocked","Red",IF(TODAY()&gt;J263,"Red",IF(M263&gt;=0.6,"Yellow","Green"))))</x:f>
        <x:v>Green</x:v>
      </x:c>
      <x:c r="U263" s="28" t="str"/>
    </x:row>
    <x:row r="264">
      <x:c r="A264" s="28" t="str">
        <x:v>SV-06-0262</x:v>
      </x:c>
      <x:c r="B264" s="28" t="str">
        <x:v>Sprint 6</x:v>
      </x:c>
      <x:c r="C264" s="28" t="str">
        <x:v>Month 4</x:v>
      </x:c>
      <x:c r="D264" s="28" t="str">
        <x:v>Sales/Marketing/Presales</x:v>
      </x:c>
      <x:c r="E264" s="28" t="str">
        <x:v>Sample</x:v>
      </x:c>
      <x:c r="F264" s="28" t="str">
        <x:v>Buat sample backup compliance report</x:v>
      </x:c>
      <x:c r="G264" s="28" t="str">
        <x:v>Sample report</x:v>
      </x:c>
      <x:c r="H264" s="28" t="str">
        <x:v>Critical</x:v>
      </x:c>
      <x:c r="I264" s="42" t="n">
        <x:f>INDEX('Sprint Plan'!$D$9:$D$20,MATCH(B264,'Sprint Plan'!$A$9:$A$20,0))</x:f>
        <x:v>46288</x:v>
      </x:c>
      <x:c r="J264" s="42" t="n">
        <x:f>INDEX('Sprint Plan'!$E$9:$E$20,MATCH(B264,'Sprint Plan'!$A$9:$A$20,0))</x:f>
        <x:v>46301</x:v>
      </x:c>
      <x:c r="K264" s="28" t="str">
        <x:v>TBD</x:v>
      </x:c>
      <x:c r="L264" s="28" t="str">
        <x:v>Not Started</x:v>
      </x:c>
      <x:c r="M264" s="43" t="n">
        <x:v>0</x:v>
      </x:c>
      <x:c r="N264" s="28" t="n">
        <x:v>1</x:v>
      </x:c>
      <x:c r="O264" s="28" t="str"/>
      <x:c r="P264" s="28" t="str"/>
      <x:c r="Q264" s="28" t="str"/>
      <x:c r="R264" s="28" t="str"/>
      <x:c r="S264" s="28" t="str">
        <x:v>High</x:v>
      </x:c>
      <x:c r="T264" s="28" t="str">
        <x:f>IF(L264="Done","Green",IF(L264="Blocked","Red",IF(TODAY()&gt;J264,"Red",IF(M264&gt;=0.6,"Yellow","Green"))))</x:f>
        <x:v>Green</x:v>
      </x:c>
      <x:c r="U264" s="28" t="str"/>
    </x:row>
    <x:row r="265">
      <x:c r="A265" s="28" t="str">
        <x:v>SV-06-0263</x:v>
      </x:c>
      <x:c r="B265" s="28" t="str">
        <x:v>Sprint 6</x:v>
      </x:c>
      <x:c r="C265" s="28" t="str">
        <x:v>Month 4</x:v>
      </x:c>
      <x:c r="D265" s="28" t="str">
        <x:v>Sales/Marketing/Presales</x:v>
      </x:c>
      <x:c r="E265" s="28" t="str">
        <x:v>Objection</x:v>
      </x:c>
      <x:c r="F265" s="28" t="str">
        <x:v>Buat objection handling backup vs Proxmox</x:v>
      </x:c>
      <x:c r="G265" s="28" t="str">
        <x:v>Objection sheet</x:v>
      </x:c>
      <x:c r="H265" s="28" t="str">
        <x:v>Critical</x:v>
      </x:c>
      <x:c r="I265" s="42" t="n">
        <x:f>INDEX('Sprint Plan'!$D$9:$D$20,MATCH(B265,'Sprint Plan'!$A$9:$A$20,0))</x:f>
        <x:v>46288</x:v>
      </x:c>
      <x:c r="J265" s="42" t="n">
        <x:f>INDEX('Sprint Plan'!$E$9:$E$20,MATCH(B265,'Sprint Plan'!$A$9:$A$20,0))</x:f>
        <x:v>46301</x:v>
      </x:c>
      <x:c r="K265" s="28" t="str">
        <x:v>TBD</x:v>
      </x:c>
      <x:c r="L265" s="28" t="str">
        <x:v>Not Started</x:v>
      </x:c>
      <x:c r="M265" s="43" t="n">
        <x:v>0</x:v>
      </x:c>
      <x:c r="N265" s="28" t="n">
        <x:v>1</x:v>
      </x:c>
      <x:c r="O265" s="28" t="str"/>
      <x:c r="P265" s="28" t="str"/>
      <x:c r="Q265" s="28" t="str"/>
      <x:c r="R265" s="28" t="str"/>
      <x:c r="S265" s="28" t="str">
        <x:v>High</x:v>
      </x:c>
      <x:c r="T265" s="28" t="str">
        <x:f>IF(L265="Done","Green",IF(L265="Blocked","Red",IF(TODAY()&gt;J265,"Red",IF(M265&gt;=0.6,"Yellow","Green"))))</x:f>
        <x:v>Green</x:v>
      </x:c>
      <x:c r="U265" s="28" t="str"/>
    </x:row>
    <x:row r="266">
      <x:c r="A266" s="28" t="str">
        <x:v>SV-06-0264</x:v>
      </x:c>
      <x:c r="B266" s="28" t="str">
        <x:v>Sprint 6</x:v>
      </x:c>
      <x:c r="C266" s="28" t="str">
        <x:v>Month 4</x:v>
      </x:c>
      <x:c r="D266" s="28" t="str">
        <x:v>Sales/Marketing/Presales</x:v>
      </x:c>
      <x:c r="E266" s="28" t="str">
        <x:v>Campaign</x:v>
      </x:c>
      <x:c r="F266" s="28" t="str">
        <x:v>Buat campaign backup audit gratis</x:v>
      </x:c>
      <x:c r="G266" s="28" t="str">
        <x:v>Campaign draft</x:v>
      </x:c>
      <x:c r="H266" s="28" t="str">
        <x:v>Critical</x:v>
      </x:c>
      <x:c r="I266" s="42" t="n">
        <x:f>INDEX('Sprint Plan'!$D$9:$D$20,MATCH(B266,'Sprint Plan'!$A$9:$A$20,0))</x:f>
        <x:v>46288</x:v>
      </x:c>
      <x:c r="J266" s="42" t="n">
        <x:f>INDEX('Sprint Plan'!$E$9:$E$20,MATCH(B266,'Sprint Plan'!$A$9:$A$20,0))</x:f>
        <x:v>46301</x:v>
      </x:c>
      <x:c r="K266" s="28" t="str">
        <x:v>TBD</x:v>
      </x:c>
      <x:c r="L266" s="28" t="str">
        <x:v>Not Started</x:v>
      </x:c>
      <x:c r="M266" s="43" t="n">
        <x:v>0</x:v>
      </x:c>
      <x:c r="N266" s="28" t="n">
        <x:v>1</x:v>
      </x:c>
      <x:c r="O266" s="28" t="str"/>
      <x:c r="P266" s="28" t="str"/>
      <x:c r="Q266" s="28" t="str"/>
      <x:c r="R266" s="28" t="str"/>
      <x:c r="S266" s="28" t="str">
        <x:v>High</x:v>
      </x:c>
      <x:c r="T266" s="28" t="str">
        <x:f>IF(L266="Done","Green",IF(L266="Blocked","Red",IF(TODAY()&gt;J266,"Red",IF(M266&gt;=0.6,"Yellow","Green"))))</x:f>
        <x:v>Green</x:v>
      </x:c>
      <x:c r="U266" s="28" t="str"/>
    </x:row>
    <x:row r="267">
      <x:c r="A267" s="28" t="str">
        <x:v>SV-07-0265</x:v>
      </x:c>
      <x:c r="B267" s="28" t="str">
        <x:v>Sprint 7</x:v>
      </x:c>
      <x:c r="C267" s="28" t="str">
        <x:v>Month 4</x:v>
      </x:c>
      <x:c r="D267" s="28" t="str">
        <x:v>Product Owner</x:v>
      </x:c>
      <x:c r="E267" s="28" t="str">
        <x:v>Report List</x:v>
      </x:c>
      <x:c r="F267" s="28" t="str">
        <x:v>Definisikan report wajib POC</x:v>
      </x:c>
      <x:c r="G267" s="28" t="str">
        <x:v>Report list</x:v>
      </x:c>
      <x:c r="H267" s="28" t="str">
        <x:v>High</x:v>
      </x:c>
      <x:c r="I267" s="42" t="n">
        <x:f>INDEX('Sprint Plan'!$D$9:$D$20,MATCH(B267,'Sprint Plan'!$A$9:$A$20,0))</x:f>
        <x:v>46302</x:v>
      </x:c>
      <x:c r="J267" s="42" t="n">
        <x:f>INDEX('Sprint Plan'!$E$9:$E$20,MATCH(B267,'Sprint Plan'!$A$9:$A$20,0))</x:f>
        <x:v>46315</x:v>
      </x:c>
      <x:c r="K267" s="28" t="str">
        <x:v>TBD</x:v>
      </x:c>
      <x:c r="L267" s="28" t="str">
        <x:v>Not Started</x:v>
      </x:c>
      <x:c r="M267" s="43" t="n">
        <x:v>0</x:v>
      </x:c>
      <x:c r="N267" s="28" t="n">
        <x:v>1</x:v>
      </x:c>
      <x:c r="O267" s="28" t="str"/>
      <x:c r="P267" s="28" t="str"/>
      <x:c r="Q267" s="28" t="str"/>
      <x:c r="R267" s="28" t="str"/>
      <x:c r="S267" s="28" t="str">
        <x:v>Medium</x:v>
      </x:c>
      <x:c r="T267" s="28" t="str">
        <x:f>IF(L267="Done","Green",IF(L267="Blocked","Red",IF(TODAY()&gt;J267,"Red",IF(M267&gt;=0.6,"Yellow","Green"))))</x:f>
        <x:v>Green</x:v>
      </x:c>
      <x:c r="U267" s="28" t="str"/>
    </x:row>
    <x:row r="268">
      <x:c r="A268" s="28" t="str">
        <x:v>SV-07-0266</x:v>
      </x:c>
      <x:c r="B268" s="28" t="str">
        <x:v>Sprint 7</x:v>
      </x:c>
      <x:c r="C268" s="28" t="str">
        <x:v>Month 4</x:v>
      </x:c>
      <x:c r="D268" s="28" t="str">
        <x:v>Product Owner</x:v>
      </x:c>
      <x:c r="E268" s="28" t="str">
        <x:v>Export</x:v>
      </x:c>
      <x:c r="F268" s="28" t="str">
        <x:v>Definisikan format export</x:v>
      </x:c>
      <x:c r="G268" s="28" t="str">
        <x:v>Export spec</x:v>
      </x:c>
      <x:c r="H268" s="28" t="str">
        <x:v>High</x:v>
      </x:c>
      <x:c r="I268" s="42" t="n">
        <x:f>INDEX('Sprint Plan'!$D$9:$D$20,MATCH(B268,'Sprint Plan'!$A$9:$A$20,0))</x:f>
        <x:v>46302</x:v>
      </x:c>
      <x:c r="J268" s="42" t="n">
        <x:f>INDEX('Sprint Plan'!$E$9:$E$20,MATCH(B268,'Sprint Plan'!$A$9:$A$20,0))</x:f>
        <x:v>46315</x:v>
      </x:c>
      <x:c r="K268" s="28" t="str">
        <x:v>TBD</x:v>
      </x:c>
      <x:c r="L268" s="28" t="str">
        <x:v>Not Started</x:v>
      </x:c>
      <x:c r="M268" s="43" t="n">
        <x:v>0</x:v>
      </x:c>
      <x:c r="N268" s="28" t="n">
        <x:v>1</x:v>
      </x:c>
      <x:c r="O268" s="28" t="str"/>
      <x:c r="P268" s="28" t="str"/>
      <x:c r="Q268" s="28" t="str"/>
      <x:c r="R268" s="28" t="str"/>
      <x:c r="S268" s="28" t="str">
        <x:v>Medium</x:v>
      </x:c>
      <x:c r="T268" s="28" t="str">
        <x:f>IF(L268="Done","Green",IF(L268="Blocked","Red",IF(TODAY()&gt;J268,"Red",IF(M268&gt;=0.6,"Yellow","Green"))))</x:f>
        <x:v>Green</x:v>
      </x:c>
      <x:c r="U268" s="28" t="str"/>
    </x:row>
    <x:row r="269">
      <x:c r="A269" s="28" t="str">
        <x:v>SV-07-0267</x:v>
      </x:c>
      <x:c r="B269" s="28" t="str">
        <x:v>Sprint 7</x:v>
      </x:c>
      <x:c r="C269" s="28" t="str">
        <x:v>Month 4</x:v>
      </x:c>
      <x:c r="D269" s="28" t="str">
        <x:v>Product Owner</x:v>
      </x:c>
      <x:c r="E269" s="28" t="str">
        <x:v>Audit</x:v>
      </x:c>
      <x:c r="F269" s="28" t="str">
        <x:v>Definisikan audit requirement</x:v>
      </x:c>
      <x:c r="G269" s="28" t="str">
        <x:v>Audit spec</x:v>
      </x:c>
      <x:c r="H269" s="28" t="str">
        <x:v>High</x:v>
      </x:c>
      <x:c r="I269" s="42" t="n">
        <x:f>INDEX('Sprint Plan'!$D$9:$D$20,MATCH(B269,'Sprint Plan'!$A$9:$A$20,0))</x:f>
        <x:v>46302</x:v>
      </x:c>
      <x:c r="J269" s="42" t="n">
        <x:f>INDEX('Sprint Plan'!$E$9:$E$20,MATCH(B269,'Sprint Plan'!$A$9:$A$20,0))</x:f>
        <x:v>46315</x:v>
      </x:c>
      <x:c r="K269" s="28" t="str">
        <x:v>TBD</x:v>
      </x:c>
      <x:c r="L269" s="28" t="str">
        <x:v>Not Started</x:v>
      </x:c>
      <x:c r="M269" s="43" t="n">
        <x:v>0</x:v>
      </x:c>
      <x:c r="N269" s="28" t="n">
        <x:v>1</x:v>
      </x:c>
      <x:c r="O269" s="28" t="str"/>
      <x:c r="P269" s="28" t="str"/>
      <x:c r="Q269" s="28" t="str"/>
      <x:c r="R269" s="28" t="str"/>
      <x:c r="S269" s="28" t="str">
        <x:v>Medium</x:v>
      </x:c>
      <x:c r="T269" s="28" t="str">
        <x:f>IF(L269="Done","Green",IF(L269="Blocked","Red",IF(TODAY()&gt;J269,"Red",IF(M269&gt;=0.6,"Yellow","Green"))))</x:f>
        <x:v>Green</x:v>
      </x:c>
      <x:c r="U269" s="28" t="str"/>
    </x:row>
    <x:row r="270">
      <x:c r="A270" s="28" t="str">
        <x:v>SV-07-0268</x:v>
      </x:c>
      <x:c r="B270" s="28" t="str">
        <x:v>Sprint 7</x:v>
      </x:c>
      <x:c r="C270" s="28" t="str">
        <x:v>Month 4</x:v>
      </x:c>
      <x:c r="D270" s="28" t="str">
        <x:v>Product Owner</x:v>
      </x:c>
      <x:c r="E270" s="28" t="str">
        <x:v>Audience</x:v>
      </x:c>
      <x:c r="F270" s="28" t="str">
        <x:v>Definisikan report audience</x:v>
      </x:c>
      <x:c r="G270" s="28" t="str">
        <x:v>Audience mapping</x:v>
      </x:c>
      <x:c r="H270" s="28" t="str">
        <x:v>High</x:v>
      </x:c>
      <x:c r="I270" s="42" t="n">
        <x:f>INDEX('Sprint Plan'!$D$9:$D$20,MATCH(B270,'Sprint Plan'!$A$9:$A$20,0))</x:f>
        <x:v>46302</x:v>
      </x:c>
      <x:c r="J270" s="42" t="n">
        <x:f>INDEX('Sprint Plan'!$E$9:$E$20,MATCH(B270,'Sprint Plan'!$A$9:$A$20,0))</x:f>
        <x:v>46315</x:v>
      </x:c>
      <x:c r="K270" s="28" t="str">
        <x:v>TBD</x:v>
      </x:c>
      <x:c r="L270" s="28" t="str">
        <x:v>Not Started</x:v>
      </x:c>
      <x:c r="M270" s="43" t="n">
        <x:v>0</x:v>
      </x:c>
      <x:c r="N270" s="28" t="n">
        <x:v>1</x:v>
      </x:c>
      <x:c r="O270" s="28" t="str"/>
      <x:c r="P270" s="28" t="str"/>
      <x:c r="Q270" s="28" t="str"/>
      <x:c r="R270" s="28" t="str"/>
      <x:c r="S270" s="28" t="str">
        <x:v>Medium</x:v>
      </x:c>
      <x:c r="T270" s="28" t="str">
        <x:f>IF(L270="Done","Green",IF(L270="Blocked","Red",IF(TODAY()&gt;J270,"Red",IF(M270&gt;=0.6,"Yellow","Green"))))</x:f>
        <x:v>Green</x:v>
      </x:c>
      <x:c r="U270" s="28" t="str"/>
    </x:row>
    <x:row r="271">
      <x:c r="A271" s="28" t="str">
        <x:v>SV-07-0269</x:v>
      </x:c>
      <x:c r="B271" s="28" t="str">
        <x:v>Sprint 7</x:v>
      </x:c>
      <x:c r="C271" s="28" t="str">
        <x:v>Month 4</x:v>
      </x:c>
      <x:c r="D271" s="28" t="str">
        <x:v>Solution Architect</x:v>
      </x:c>
      <x:c r="E271" s="28" t="str">
        <x:v>Reporting</x:v>
      </x:c>
      <x:c r="F271" s="28" t="str">
        <x:v>Desain reporting service</x:v>
      </x:c>
      <x:c r="G271" s="28" t="str">
        <x:v>Reporting design</x:v>
      </x:c>
      <x:c r="H271" s="28" t="str">
        <x:v>High</x:v>
      </x:c>
      <x:c r="I271" s="42" t="n">
        <x:f>INDEX('Sprint Plan'!$D$9:$D$20,MATCH(B271,'Sprint Plan'!$A$9:$A$20,0))</x:f>
        <x:v>46302</x:v>
      </x:c>
      <x:c r="J271" s="42" t="n">
        <x:f>INDEX('Sprint Plan'!$E$9:$E$20,MATCH(B271,'Sprint Plan'!$A$9:$A$20,0))</x:f>
        <x:v>46315</x:v>
      </x:c>
      <x:c r="K271" s="28" t="str">
        <x:v>TBD</x:v>
      </x:c>
      <x:c r="L271" s="28" t="str">
        <x:v>Not Started</x:v>
      </x:c>
      <x:c r="M271" s="43" t="n">
        <x:v>0</x:v>
      </x:c>
      <x:c r="N271" s="28" t="n">
        <x:v>1</x:v>
      </x:c>
      <x:c r="O271" s="28" t="str"/>
      <x:c r="P271" s="28" t="str"/>
      <x:c r="Q271" s="28" t="str"/>
      <x:c r="R271" s="28" t="str"/>
      <x:c r="S271" s="28" t="str">
        <x:v>Medium</x:v>
      </x:c>
      <x:c r="T271" s="28" t="str">
        <x:f>IF(L271="Done","Green",IF(L271="Blocked","Red",IF(TODAY()&gt;J271,"Red",IF(M271&gt;=0.6,"Yellow","Green"))))</x:f>
        <x:v>Green</x:v>
      </x:c>
      <x:c r="U271" s="28" t="str"/>
    </x:row>
    <x:row r="272">
      <x:c r="A272" s="28" t="str">
        <x:v>SV-07-0270</x:v>
      </x:c>
      <x:c r="B272" s="28" t="str">
        <x:v>Sprint 7</x:v>
      </x:c>
      <x:c r="C272" s="28" t="str">
        <x:v>Month 4</x:v>
      </x:c>
      <x:c r="D272" s="28" t="str">
        <x:v>Solution Architect</x:v>
      </x:c>
      <x:c r="E272" s="28" t="str">
        <x:v>Audit Model</x:v>
      </x:c>
      <x:c r="F272" s="28" t="str">
        <x:v>Desain audit log model</x:v>
      </x:c>
      <x:c r="G272" s="28" t="str">
        <x:v>Audit model</x:v>
      </x:c>
      <x:c r="H272" s="28" t="str">
        <x:v>High</x:v>
      </x:c>
      <x:c r="I272" s="42" t="n">
        <x:f>INDEX('Sprint Plan'!$D$9:$D$20,MATCH(B272,'Sprint Plan'!$A$9:$A$20,0))</x:f>
        <x:v>46302</x:v>
      </x:c>
      <x:c r="J272" s="42" t="n">
        <x:f>INDEX('Sprint Plan'!$E$9:$E$20,MATCH(B272,'Sprint Plan'!$A$9:$A$20,0))</x:f>
        <x:v>46315</x:v>
      </x:c>
      <x:c r="K272" s="28" t="str">
        <x:v>TBD</x:v>
      </x:c>
      <x:c r="L272" s="28" t="str">
        <x:v>Not Started</x:v>
      </x:c>
      <x:c r="M272" s="43" t="n">
        <x:v>0</x:v>
      </x:c>
      <x:c r="N272" s="28" t="n">
        <x:v>1</x:v>
      </x:c>
      <x:c r="O272" s="28" t="str"/>
      <x:c r="P272" s="28" t="str"/>
      <x:c r="Q272" s="28" t="str"/>
      <x:c r="R272" s="28" t="str"/>
      <x:c r="S272" s="28" t="str">
        <x:v>Medium</x:v>
      </x:c>
      <x:c r="T272" s="28" t="str">
        <x:f>IF(L272="Done","Green",IF(L272="Blocked","Red",IF(TODAY()&gt;J272,"Red",IF(M272&gt;=0.6,"Yellow","Green"))))</x:f>
        <x:v>Green</x:v>
      </x:c>
      <x:c r="U272" s="28" t="str"/>
    </x:row>
    <x:row r="273">
      <x:c r="A273" s="28" t="str">
        <x:v>SV-07-0271</x:v>
      </x:c>
      <x:c r="B273" s="28" t="str">
        <x:v>Sprint 7</x:v>
      </x:c>
      <x:c r="C273" s="28" t="str">
        <x:v>Month 4</x:v>
      </x:c>
      <x:c r="D273" s="28" t="str">
        <x:v>Solution Architect</x:v>
      </x:c>
      <x:c r="E273" s="28" t="str">
        <x:v>Aggregation</x:v>
      </x:c>
      <x:c r="F273" s="28" t="str">
        <x:v>Desain data aggregation</x:v>
      </x:c>
      <x:c r="G273" s="28" t="str">
        <x:v>Aggregation design</x:v>
      </x:c>
      <x:c r="H273" s="28" t="str">
        <x:v>High</x:v>
      </x:c>
      <x:c r="I273" s="42" t="n">
        <x:f>INDEX('Sprint Plan'!$D$9:$D$20,MATCH(B273,'Sprint Plan'!$A$9:$A$20,0))</x:f>
        <x:v>46302</x:v>
      </x:c>
      <x:c r="J273" s="42" t="n">
        <x:f>INDEX('Sprint Plan'!$E$9:$E$20,MATCH(B273,'Sprint Plan'!$A$9:$A$20,0))</x:f>
        <x:v>46315</x:v>
      </x:c>
      <x:c r="K273" s="28" t="str">
        <x:v>TBD</x:v>
      </x:c>
      <x:c r="L273" s="28" t="str">
        <x:v>Not Started</x:v>
      </x:c>
      <x:c r="M273" s="43" t="n">
        <x:v>0</x:v>
      </x:c>
      <x:c r="N273" s="28" t="n">
        <x:v>1</x:v>
      </x:c>
      <x:c r="O273" s="28" t="str"/>
      <x:c r="P273" s="28" t="str"/>
      <x:c r="Q273" s="28" t="str"/>
      <x:c r="R273" s="28" t="str"/>
      <x:c r="S273" s="28" t="str">
        <x:v>Medium</x:v>
      </x:c>
      <x:c r="T273" s="28" t="str">
        <x:f>IF(L273="Done","Green",IF(L273="Blocked","Red",IF(TODAY()&gt;J273,"Red",IF(M273&gt;=0.6,"Yellow","Green"))))</x:f>
        <x:v>Green</x:v>
      </x:c>
      <x:c r="U273" s="28" t="str"/>
    </x:row>
    <x:row r="274">
      <x:c r="A274" s="28" t="str">
        <x:v>SV-07-0272</x:v>
      </x:c>
      <x:c r="B274" s="28" t="str">
        <x:v>Sprint 7</x:v>
      </x:c>
      <x:c r="C274" s="28" t="str">
        <x:v>Month 4</x:v>
      </x:c>
      <x:c r="D274" s="28" t="str">
        <x:v>Solution Architect</x:v>
      </x:c>
      <x:c r="E274" s="28" t="str">
        <x:v>Access</x:v>
      </x:c>
      <x:c r="F274" s="28" t="str">
        <x:v>Review security report access</x:v>
      </x:c>
      <x:c r="G274" s="28" t="str">
        <x:v>Access review</x:v>
      </x:c>
      <x:c r="H274" s="28" t="str">
        <x:v>High</x:v>
      </x:c>
      <x:c r="I274" s="42" t="n">
        <x:f>INDEX('Sprint Plan'!$D$9:$D$20,MATCH(B274,'Sprint Plan'!$A$9:$A$20,0))</x:f>
        <x:v>46302</x:v>
      </x:c>
      <x:c r="J274" s="42" t="n">
        <x:f>INDEX('Sprint Plan'!$E$9:$E$20,MATCH(B274,'Sprint Plan'!$A$9:$A$20,0))</x:f>
        <x:v>46315</x:v>
      </x:c>
      <x:c r="K274" s="28" t="str">
        <x:v>TBD</x:v>
      </x:c>
      <x:c r="L274" s="28" t="str">
        <x:v>Not Started</x:v>
      </x:c>
      <x:c r="M274" s="43" t="n">
        <x:v>0</x:v>
      </x:c>
      <x:c r="N274" s="28" t="n">
        <x:v>1</x:v>
      </x:c>
      <x:c r="O274" s="28" t="str"/>
      <x:c r="P274" s="28" t="str"/>
      <x:c r="Q274" s="28" t="str"/>
      <x:c r="R274" s="28" t="str"/>
      <x:c r="S274" s="28" t="str">
        <x:v>Medium</x:v>
      </x:c>
      <x:c r="T274" s="28" t="str">
        <x:f>IF(L274="Done","Green",IF(L274="Blocked","Red",IF(TODAY()&gt;J274,"Red",IF(M274&gt;=0.6,"Yellow","Green"))))</x:f>
        <x:v>Green</x:v>
      </x:c>
      <x:c r="U274" s="28" t="str"/>
    </x:row>
    <x:row r="275">
      <x:c r="A275" s="28" t="str">
        <x:v>SV-07-0273</x:v>
      </x:c>
      <x:c r="B275" s="28" t="str">
        <x:v>Sprint 7</x:v>
      </x:c>
      <x:c r="C275" s="28" t="str">
        <x:v>Month 4</x:v>
      </x:c>
      <x:c r="D275" s="28" t="str">
        <x:v>Infra/OpenNebula Engineer</x:v>
      </x:c>
      <x:c r="E275" s="28" t="str">
        <x:v>Data Source</x:v>
      </x:c>
      <x:c r="F275" s="28" t="str">
        <x:v>Validasi source data report</x:v>
      </x:c>
      <x:c r="G275" s="28" t="str">
        <x:v>Data source map</x:v>
      </x:c>
      <x:c r="H275" s="28" t="str">
        <x:v>High</x:v>
      </x:c>
      <x:c r="I275" s="42" t="n">
        <x:f>INDEX('Sprint Plan'!$D$9:$D$20,MATCH(B275,'Sprint Plan'!$A$9:$A$20,0))</x:f>
        <x:v>46302</x:v>
      </x:c>
      <x:c r="J275" s="42" t="n">
        <x:f>INDEX('Sprint Plan'!$E$9:$E$20,MATCH(B275,'Sprint Plan'!$A$9:$A$20,0))</x:f>
        <x:v>46315</x:v>
      </x:c>
      <x:c r="K275" s="28" t="str">
        <x:v>TBD</x:v>
      </x:c>
      <x:c r="L275" s="28" t="str">
        <x:v>Not Started</x:v>
      </x:c>
      <x:c r="M275" s="43" t="n">
        <x:v>0</x:v>
      </x:c>
      <x:c r="N275" s="28" t="n">
        <x:v>1</x:v>
      </x:c>
      <x:c r="O275" s="28" t="str"/>
      <x:c r="P275" s="28" t="str"/>
      <x:c r="Q275" s="28" t="str"/>
      <x:c r="R275" s="28" t="str"/>
      <x:c r="S275" s="28" t="str">
        <x:v>Medium</x:v>
      </x:c>
      <x:c r="T275" s="28" t="str">
        <x:f>IF(L275="Done","Green",IF(L275="Blocked","Red",IF(TODAY()&gt;J275,"Red",IF(M275&gt;=0.6,"Yellow","Green"))))</x:f>
        <x:v>Green</x:v>
      </x:c>
      <x:c r="U275" s="28" t="str"/>
    </x:row>
    <x:row r="276">
      <x:c r="A276" s="28" t="str">
        <x:v>SV-07-0274</x:v>
      </x:c>
      <x:c r="B276" s="28" t="str">
        <x:v>Sprint 7</x:v>
      </x:c>
      <x:c r="C276" s="28" t="str">
        <x:v>Month 4</x:v>
      </x:c>
      <x:c r="D276" s="28" t="str">
        <x:v>Infra/OpenNebula Engineer</x:v>
      </x:c>
      <x:c r="E276" s="28" t="str">
        <x:v>Sample</x:v>
      </x:c>
      <x:c r="F276" s="28" t="str">
        <x:v>Siapkan sample data lab</x:v>
      </x:c>
      <x:c r="G276" s="28" t="str">
        <x:v>Sample data</x:v>
      </x:c>
      <x:c r="H276" s="28" t="str">
        <x:v>High</x:v>
      </x:c>
      <x:c r="I276" s="42" t="n">
        <x:f>INDEX('Sprint Plan'!$D$9:$D$20,MATCH(B276,'Sprint Plan'!$A$9:$A$20,0))</x:f>
        <x:v>46302</x:v>
      </x:c>
      <x:c r="J276" s="42" t="n">
        <x:f>INDEX('Sprint Plan'!$E$9:$E$20,MATCH(B276,'Sprint Plan'!$A$9:$A$20,0))</x:f>
        <x:v>46315</x:v>
      </x:c>
      <x:c r="K276" s="28" t="str">
        <x:v>TBD</x:v>
      </x:c>
      <x:c r="L276" s="28" t="str">
        <x:v>Not Started</x:v>
      </x:c>
      <x:c r="M276" s="43" t="n">
        <x:v>0</x:v>
      </x:c>
      <x:c r="N276" s="28" t="n">
        <x:v>1</x:v>
      </x:c>
      <x:c r="O276" s="28" t="str"/>
      <x:c r="P276" s="28" t="str"/>
      <x:c r="Q276" s="28" t="str"/>
      <x:c r="R276" s="28" t="str"/>
      <x:c r="S276" s="28" t="str">
        <x:v>Medium</x:v>
      </x:c>
      <x:c r="T276" s="28" t="str">
        <x:f>IF(L276="Done","Green",IF(L276="Blocked","Red",IF(TODAY()&gt;J276,"Red",IF(M276&gt;=0.6,"Yellow","Green"))))</x:f>
        <x:v>Green</x:v>
      </x:c>
      <x:c r="U276" s="28" t="str"/>
    </x:row>
    <x:row r="277">
      <x:c r="A277" s="28" t="str">
        <x:v>SV-07-0275</x:v>
      </x:c>
      <x:c r="B277" s="28" t="str">
        <x:v>Sprint 7</x:v>
      </x:c>
      <x:c r="C277" s="28" t="str">
        <x:v>Month 4</x:v>
      </x:c>
      <x:c r="D277" s="28" t="str">
        <x:v>Infra/OpenNebula Engineer</x:v>
      </x:c>
      <x:c r="E277" s="28" t="str">
        <x:v>Events</x:v>
      </x:c>
      <x:c r="F277" s="28" t="str">
        <x:v>Validasi event engine</x:v>
      </x:c>
      <x:c r="G277" s="28" t="str">
        <x:v>Engine event review</x:v>
      </x:c>
      <x:c r="H277" s="28" t="str">
        <x:v>High</x:v>
      </x:c>
      <x:c r="I277" s="42" t="n">
        <x:f>INDEX('Sprint Plan'!$D$9:$D$20,MATCH(B277,'Sprint Plan'!$A$9:$A$20,0))</x:f>
        <x:v>46302</x:v>
      </x:c>
      <x:c r="J277" s="42" t="n">
        <x:f>INDEX('Sprint Plan'!$E$9:$E$20,MATCH(B277,'Sprint Plan'!$A$9:$A$20,0))</x:f>
        <x:v>46315</x:v>
      </x:c>
      <x:c r="K277" s="28" t="str">
        <x:v>TBD</x:v>
      </x:c>
      <x:c r="L277" s="28" t="str">
        <x:v>Not Started</x:v>
      </x:c>
      <x:c r="M277" s="43" t="n">
        <x:v>0</x:v>
      </x:c>
      <x:c r="N277" s="28" t="n">
        <x:v>1</x:v>
      </x:c>
      <x:c r="O277" s="28" t="str"/>
      <x:c r="P277" s="28" t="str"/>
      <x:c r="Q277" s="28" t="str"/>
      <x:c r="R277" s="28" t="str"/>
      <x:c r="S277" s="28" t="str">
        <x:v>Medium</x:v>
      </x:c>
      <x:c r="T277" s="28" t="str">
        <x:f>IF(L277="Done","Green",IF(L277="Blocked","Red",IF(TODAY()&gt;J277,"Red",IF(M277&gt;=0.6,"Yellow","Green"))))</x:f>
        <x:v>Green</x:v>
      </x:c>
      <x:c r="U277" s="28" t="str"/>
    </x:row>
    <x:row r="278">
      <x:c r="A278" s="28" t="str">
        <x:v>SV-07-0276</x:v>
      </x:c>
      <x:c r="B278" s="28" t="str">
        <x:v>Sprint 7</x:v>
      </x:c>
      <x:c r="C278" s="28" t="str">
        <x:v>Month 4</x:v>
      </x:c>
      <x:c r="D278" s="28" t="str">
        <x:v>Backend Engineer</x:v>
      </x:c>
      <x:c r="E278" s="28" t="str">
        <x:v>Generator</x:v>
      </x:c>
      <x:c r="F278" s="28" t="str">
        <x:v>Implement report generator</x:v>
      </x:c>
      <x:c r="G278" s="28" t="str">
        <x:v>Report service</x:v>
      </x:c>
      <x:c r="H278" s="28" t="str">
        <x:v>High</x:v>
      </x:c>
      <x:c r="I278" s="42" t="n">
        <x:f>INDEX('Sprint Plan'!$D$9:$D$20,MATCH(B278,'Sprint Plan'!$A$9:$A$20,0))</x:f>
        <x:v>46302</x:v>
      </x:c>
      <x:c r="J278" s="42" t="n">
        <x:f>INDEX('Sprint Plan'!$E$9:$E$20,MATCH(B278,'Sprint Plan'!$A$9:$A$20,0))</x:f>
        <x:v>46315</x:v>
      </x:c>
      <x:c r="K278" s="28" t="str">
        <x:v>TBD</x:v>
      </x:c>
      <x:c r="L278" s="28" t="str">
        <x:v>Not Started</x:v>
      </x:c>
      <x:c r="M278" s="43" t="n">
        <x:v>0</x:v>
      </x:c>
      <x:c r="N278" s="28" t="n">
        <x:v>1</x:v>
      </x:c>
      <x:c r="O278" s="28" t="str"/>
      <x:c r="P278" s="28" t="str"/>
      <x:c r="Q278" s="28" t="str"/>
      <x:c r="R278" s="28" t="str"/>
      <x:c r="S278" s="28" t="str">
        <x:v>Medium</x:v>
      </x:c>
      <x:c r="T278" s="28" t="str">
        <x:f>IF(L278="Done","Green",IF(L278="Blocked","Red",IF(TODAY()&gt;J278,"Red",IF(M278&gt;=0.6,"Yellow","Green"))))</x:f>
        <x:v>Green</x:v>
      </x:c>
      <x:c r="U278" s="28" t="str"/>
    </x:row>
    <x:row r="279">
      <x:c r="A279" s="28" t="str">
        <x:v>SV-07-0277</x:v>
      </x:c>
      <x:c r="B279" s="28" t="str">
        <x:v>Sprint 7</x:v>
      </x:c>
      <x:c r="C279" s="28" t="str">
        <x:v>Month 4</x:v>
      </x:c>
      <x:c r="D279" s="28" t="str">
        <x:v>Backend Engineer</x:v>
      </x:c>
      <x:c r="E279" s="28" t="str">
        <x:v>PDF</x:v>
      </x:c>
      <x:c r="F279" s="28" t="str">
        <x:v>Implement PDF export</x:v>
      </x:c>
      <x:c r="G279" s="28" t="str">
        <x:v>PDF report</x:v>
      </x:c>
      <x:c r="H279" s="28" t="str">
        <x:v>High</x:v>
      </x:c>
      <x:c r="I279" s="42" t="n">
        <x:f>INDEX('Sprint Plan'!$D$9:$D$20,MATCH(B279,'Sprint Plan'!$A$9:$A$20,0))</x:f>
        <x:v>46302</x:v>
      </x:c>
      <x:c r="J279" s="42" t="n">
        <x:f>INDEX('Sprint Plan'!$E$9:$E$20,MATCH(B279,'Sprint Plan'!$A$9:$A$20,0))</x:f>
        <x:v>46315</x:v>
      </x:c>
      <x:c r="K279" s="28" t="str">
        <x:v>TBD</x:v>
      </x:c>
      <x:c r="L279" s="28" t="str">
        <x:v>Not Started</x:v>
      </x:c>
      <x:c r="M279" s="43" t="n">
        <x:v>0</x:v>
      </x:c>
      <x:c r="N279" s="28" t="n">
        <x:v>1</x:v>
      </x:c>
      <x:c r="O279" s="28" t="str"/>
      <x:c r="P279" s="28" t="str"/>
      <x:c r="Q279" s="28" t="str"/>
      <x:c r="R279" s="28" t="str"/>
      <x:c r="S279" s="28" t="str">
        <x:v>Medium</x:v>
      </x:c>
      <x:c r="T279" s="28" t="str">
        <x:f>IF(L279="Done","Green",IF(L279="Blocked","Red",IF(TODAY()&gt;J279,"Red",IF(M279&gt;=0.6,"Yellow","Green"))))</x:f>
        <x:v>Green</x:v>
      </x:c>
      <x:c r="U279" s="28" t="str"/>
    </x:row>
    <x:row r="280">
      <x:c r="A280" s="28" t="str">
        <x:v>SV-07-0278</x:v>
      </x:c>
      <x:c r="B280" s="28" t="str">
        <x:v>Sprint 7</x:v>
      </x:c>
      <x:c r="C280" s="28" t="str">
        <x:v>Month 4</x:v>
      </x:c>
      <x:c r="D280" s="28" t="str">
        <x:v>Backend Engineer</x:v>
      </x:c>
      <x:c r="E280" s="28" t="str">
        <x:v>Excel</x:v>
      </x:c>
      <x:c r="F280" s="28" t="str">
        <x:v>Implement Excel export</x:v>
      </x:c>
      <x:c r="G280" s="28" t="str">
        <x:v>Excel report</x:v>
      </x:c>
      <x:c r="H280" s="28" t="str">
        <x:v>High</x:v>
      </x:c>
      <x:c r="I280" s="42" t="n">
        <x:f>INDEX('Sprint Plan'!$D$9:$D$20,MATCH(B280,'Sprint Plan'!$A$9:$A$20,0))</x:f>
        <x:v>46302</x:v>
      </x:c>
      <x:c r="J280" s="42" t="n">
        <x:f>INDEX('Sprint Plan'!$E$9:$E$20,MATCH(B280,'Sprint Plan'!$A$9:$A$20,0))</x:f>
        <x:v>46315</x:v>
      </x:c>
      <x:c r="K280" s="28" t="str">
        <x:v>TBD</x:v>
      </x:c>
      <x:c r="L280" s="28" t="str">
        <x:v>Not Started</x:v>
      </x:c>
      <x:c r="M280" s="43" t="n">
        <x:v>0</x:v>
      </x:c>
      <x:c r="N280" s="28" t="n">
        <x:v>1</x:v>
      </x:c>
      <x:c r="O280" s="28" t="str"/>
      <x:c r="P280" s="28" t="str"/>
      <x:c r="Q280" s="28" t="str"/>
      <x:c r="R280" s="28" t="str"/>
      <x:c r="S280" s="28" t="str">
        <x:v>Medium</x:v>
      </x:c>
      <x:c r="T280" s="28" t="str">
        <x:f>IF(L280="Done","Green",IF(L280="Blocked","Red",IF(TODAY()&gt;J280,"Red",IF(M280&gt;=0.6,"Yellow","Green"))))</x:f>
        <x:v>Green</x:v>
      </x:c>
      <x:c r="U280" s="28" t="str"/>
    </x:row>
    <x:row r="281">
      <x:c r="A281" s="28" t="str">
        <x:v>SV-07-0279</x:v>
      </x:c>
      <x:c r="B281" s="28" t="str">
        <x:v>Sprint 7</x:v>
      </x:c>
      <x:c r="C281" s="28" t="str">
        <x:v>Month 4</x:v>
      </x:c>
      <x:c r="D281" s="28" t="str">
        <x:v>Backend Engineer</x:v>
      </x:c>
      <x:c r="E281" s="28" t="str">
        <x:v>Audit</x:v>
      </x:c>
      <x:c r="F281" s="28" t="str">
        <x:v>Implement audit log filter</x:v>
      </x:c>
      <x:c r="G281" s="28" t="str">
        <x:v>Audit filter</x:v>
      </x:c>
      <x:c r="H281" s="28" t="str">
        <x:v>High</x:v>
      </x:c>
      <x:c r="I281" s="42" t="n">
        <x:f>INDEX('Sprint Plan'!$D$9:$D$20,MATCH(B281,'Sprint Plan'!$A$9:$A$20,0))</x:f>
        <x:v>46302</x:v>
      </x:c>
      <x:c r="J281" s="42" t="n">
        <x:f>INDEX('Sprint Plan'!$E$9:$E$20,MATCH(B281,'Sprint Plan'!$A$9:$A$20,0))</x:f>
        <x:v>46315</x:v>
      </x:c>
      <x:c r="K281" s="28" t="str">
        <x:v>TBD</x:v>
      </x:c>
      <x:c r="L281" s="28" t="str">
        <x:v>Not Started</x:v>
      </x:c>
      <x:c r="M281" s="43" t="n">
        <x:v>0</x:v>
      </x:c>
      <x:c r="N281" s="28" t="n">
        <x:v>1</x:v>
      </x:c>
      <x:c r="O281" s="28" t="str"/>
      <x:c r="P281" s="28" t="str"/>
      <x:c r="Q281" s="28" t="str"/>
      <x:c r="R281" s="28" t="str"/>
      <x:c r="S281" s="28" t="str">
        <x:v>Medium</x:v>
      </x:c>
      <x:c r="T281" s="28" t="str">
        <x:f>IF(L281="Done","Green",IF(L281="Blocked","Red",IF(TODAY()&gt;J281,"Red",IF(M281&gt;=0.6,"Yellow","Green"))))</x:f>
        <x:v>Green</x:v>
      </x:c>
      <x:c r="U281" s="28" t="str"/>
    </x:row>
    <x:row r="282">
      <x:c r="A282" s="28" t="str">
        <x:v>SV-07-0280</x:v>
      </x:c>
      <x:c r="B282" s="28" t="str">
        <x:v>Sprint 7</x:v>
      </x:c>
      <x:c r="C282" s="28" t="str">
        <x:v>Month 4</x:v>
      </x:c>
      <x:c r="D282" s="28" t="str">
        <x:v>Backend Engineer</x:v>
      </x:c>
      <x:c r="E282" s="28" t="str">
        <x:v>Reports</x:v>
      </x:c>
      <x:c r="F282" s="28" t="str">
        <x:v>Implement usage, capacity, backup report API</x:v>
      </x:c>
      <x:c r="G282" s="28" t="str">
        <x:v>Report APIs</x:v>
      </x:c>
      <x:c r="H282" s="28" t="str">
        <x:v>High</x:v>
      </x:c>
      <x:c r="I282" s="42" t="n">
        <x:f>INDEX('Sprint Plan'!$D$9:$D$20,MATCH(B282,'Sprint Plan'!$A$9:$A$20,0))</x:f>
        <x:v>46302</x:v>
      </x:c>
      <x:c r="J282" s="42" t="n">
        <x:f>INDEX('Sprint Plan'!$E$9:$E$20,MATCH(B282,'Sprint Plan'!$A$9:$A$20,0))</x:f>
        <x:v>46315</x:v>
      </x:c>
      <x:c r="K282" s="28" t="str">
        <x:v>TBD</x:v>
      </x:c>
      <x:c r="L282" s="28" t="str">
        <x:v>Not Started</x:v>
      </x:c>
      <x:c r="M282" s="43" t="n">
        <x:v>0</x:v>
      </x:c>
      <x:c r="N282" s="28" t="n">
        <x:v>1</x:v>
      </x:c>
      <x:c r="O282" s="28" t="str"/>
      <x:c r="P282" s="28" t="str"/>
      <x:c r="Q282" s="28" t="str"/>
      <x:c r="R282" s="28" t="str"/>
      <x:c r="S282" s="28" t="str">
        <x:v>Medium</x:v>
      </x:c>
      <x:c r="T282" s="28" t="str">
        <x:f>IF(L282="Done","Green",IF(L282="Blocked","Red",IF(TODAY()&gt;J282,"Red",IF(M282&gt;=0.6,"Yellow","Green"))))</x:f>
        <x:v>Green</x:v>
      </x:c>
      <x:c r="U282" s="28" t="str"/>
    </x:row>
    <x:row r="283">
      <x:c r="A283" s="28" t="str">
        <x:v>SV-07-0281</x:v>
      </x:c>
      <x:c r="B283" s="28" t="str">
        <x:v>Sprint 7</x:v>
      </x:c>
      <x:c r="C283" s="28" t="str">
        <x:v>Month 4</x:v>
      </x:c>
      <x:c r="D283" s="28" t="str">
        <x:v>Frontend Engineer</x:v>
      </x:c>
      <x:c r="E283" s="28" t="str">
        <x:v>Menu</x:v>
      </x:c>
      <x:c r="F283" s="28" t="str">
        <x:v>Build report menu</x:v>
      </x:c>
      <x:c r="G283" s="28" t="str">
        <x:v>Report UI</x:v>
      </x:c>
      <x:c r="H283" s="28" t="str">
        <x:v>High</x:v>
      </x:c>
      <x:c r="I283" s="42" t="n">
        <x:f>INDEX('Sprint Plan'!$D$9:$D$20,MATCH(B283,'Sprint Plan'!$A$9:$A$20,0))</x:f>
        <x:v>46302</x:v>
      </x:c>
      <x:c r="J283" s="42" t="n">
        <x:f>INDEX('Sprint Plan'!$E$9:$E$20,MATCH(B283,'Sprint Plan'!$A$9:$A$20,0))</x:f>
        <x:v>46315</x:v>
      </x:c>
      <x:c r="K283" s="28" t="str">
        <x:v>TBD</x:v>
      </x:c>
      <x:c r="L283" s="28" t="str">
        <x:v>Not Started</x:v>
      </x:c>
      <x:c r="M283" s="43" t="n">
        <x:v>0</x:v>
      </x:c>
      <x:c r="N283" s="28" t="n">
        <x:v>1</x:v>
      </x:c>
      <x:c r="O283" s="28" t="str"/>
      <x:c r="P283" s="28" t="str"/>
      <x:c r="Q283" s="28" t="str"/>
      <x:c r="R283" s="28" t="str"/>
      <x:c r="S283" s="28" t="str">
        <x:v>Medium</x:v>
      </x:c>
      <x:c r="T283" s="28" t="str">
        <x:f>IF(L283="Done","Green",IF(L283="Blocked","Red",IF(TODAY()&gt;J283,"Red",IF(M283&gt;=0.6,"Yellow","Green"))))</x:f>
        <x:v>Green</x:v>
      </x:c>
      <x:c r="U283" s="28" t="str"/>
    </x:row>
    <x:row r="284">
      <x:c r="A284" s="28" t="str">
        <x:v>SV-07-0282</x:v>
      </x:c>
      <x:c r="B284" s="28" t="str">
        <x:v>Sprint 7</x:v>
      </x:c>
      <x:c r="C284" s="28" t="str">
        <x:v>Month 4</x:v>
      </x:c>
      <x:c r="D284" s="28" t="str">
        <x:v>Frontend Engineer</x:v>
      </x:c>
      <x:c r="E284" s="28" t="str">
        <x:v>Filter</x:v>
      </x:c>
      <x:c r="F284" s="28" t="str">
        <x:v>Build report filter</x:v>
      </x:c>
      <x:c r="G284" s="28" t="str">
        <x:v>Filter UI</x:v>
      </x:c>
      <x:c r="H284" s="28" t="str">
        <x:v>High</x:v>
      </x:c>
      <x:c r="I284" s="42" t="n">
        <x:f>INDEX('Sprint Plan'!$D$9:$D$20,MATCH(B284,'Sprint Plan'!$A$9:$A$20,0))</x:f>
        <x:v>46302</x:v>
      </x:c>
      <x:c r="J284" s="42" t="n">
        <x:f>INDEX('Sprint Plan'!$E$9:$E$20,MATCH(B284,'Sprint Plan'!$A$9:$A$20,0))</x:f>
        <x:v>46315</x:v>
      </x:c>
      <x:c r="K284" s="28" t="str">
        <x:v>TBD</x:v>
      </x:c>
      <x:c r="L284" s="28" t="str">
        <x:v>Not Started</x:v>
      </x:c>
      <x:c r="M284" s="43" t="n">
        <x:v>0</x:v>
      </x:c>
      <x:c r="N284" s="28" t="n">
        <x:v>1</x:v>
      </x:c>
      <x:c r="O284" s="28" t="str"/>
      <x:c r="P284" s="28" t="str"/>
      <x:c r="Q284" s="28" t="str"/>
      <x:c r="R284" s="28" t="str"/>
      <x:c r="S284" s="28" t="str">
        <x:v>Medium</x:v>
      </x:c>
      <x:c r="T284" s="28" t="str">
        <x:f>IF(L284="Done","Green",IF(L284="Blocked","Red",IF(TODAY()&gt;J284,"Red",IF(M284&gt;=0.6,"Yellow","Green"))))</x:f>
        <x:v>Green</x:v>
      </x:c>
      <x:c r="U284" s="28" t="str"/>
    </x:row>
    <x:row r="285">
      <x:c r="A285" s="28" t="str">
        <x:v>SV-07-0283</x:v>
      </x:c>
      <x:c r="B285" s="28" t="str">
        <x:v>Sprint 7</x:v>
      </x:c>
      <x:c r="C285" s="28" t="str">
        <x:v>Month 4</x:v>
      </x:c>
      <x:c r="D285" s="28" t="str">
        <x:v>Frontend Engineer</x:v>
      </x:c>
      <x:c r="E285" s="28" t="str">
        <x:v>Export</x:v>
      </x:c>
      <x:c r="F285" s="28" t="str">
        <x:v>Build export button</x:v>
      </x:c>
      <x:c r="G285" s="28" t="str">
        <x:v>Export action</x:v>
      </x:c>
      <x:c r="H285" s="28" t="str">
        <x:v>High</x:v>
      </x:c>
      <x:c r="I285" s="42" t="n">
        <x:f>INDEX('Sprint Plan'!$D$9:$D$20,MATCH(B285,'Sprint Plan'!$A$9:$A$20,0))</x:f>
        <x:v>46302</x:v>
      </x:c>
      <x:c r="J285" s="42" t="n">
        <x:f>INDEX('Sprint Plan'!$E$9:$E$20,MATCH(B285,'Sprint Plan'!$A$9:$A$20,0))</x:f>
        <x:v>46315</x:v>
      </x:c>
      <x:c r="K285" s="28" t="str">
        <x:v>TBD</x:v>
      </x:c>
      <x:c r="L285" s="28" t="str">
        <x:v>Not Started</x:v>
      </x:c>
      <x:c r="M285" s="43" t="n">
        <x:v>0</x:v>
      </x:c>
      <x:c r="N285" s="28" t="n">
        <x:v>1</x:v>
      </x:c>
      <x:c r="O285" s="28" t="str"/>
      <x:c r="P285" s="28" t="str"/>
      <x:c r="Q285" s="28" t="str"/>
      <x:c r="R285" s="28" t="str"/>
      <x:c r="S285" s="28" t="str">
        <x:v>Medium</x:v>
      </x:c>
      <x:c r="T285" s="28" t="str">
        <x:f>IF(L285="Done","Green",IF(L285="Blocked","Red",IF(TODAY()&gt;J285,"Red",IF(M285&gt;=0.6,"Yellow","Green"))))</x:f>
        <x:v>Green</x:v>
      </x:c>
      <x:c r="U285" s="28" t="str"/>
    </x:row>
    <x:row r="286">
      <x:c r="A286" s="28" t="str">
        <x:v>SV-07-0284</x:v>
      </x:c>
      <x:c r="B286" s="28" t="str">
        <x:v>Sprint 7</x:v>
      </x:c>
      <x:c r="C286" s="28" t="str">
        <x:v>Month 4</x:v>
      </x:c>
      <x:c r="D286" s="28" t="str">
        <x:v>Frontend Engineer</x:v>
      </x:c>
      <x:c r="E286" s="28" t="str">
        <x:v>Audit</x:v>
      </x:c>
      <x:c r="F286" s="28" t="str">
        <x:v>Build audit log page</x:v>
      </x:c>
      <x:c r="G286" s="28" t="str">
        <x:v>Audit UI</x:v>
      </x:c>
      <x:c r="H286" s="28" t="str">
        <x:v>High</x:v>
      </x:c>
      <x:c r="I286" s="42" t="n">
        <x:f>INDEX('Sprint Plan'!$D$9:$D$20,MATCH(B286,'Sprint Plan'!$A$9:$A$20,0))</x:f>
        <x:v>46302</x:v>
      </x:c>
      <x:c r="J286" s="42" t="n">
        <x:f>INDEX('Sprint Plan'!$E$9:$E$20,MATCH(B286,'Sprint Plan'!$A$9:$A$20,0))</x:f>
        <x:v>46315</x:v>
      </x:c>
      <x:c r="K286" s="28" t="str">
        <x:v>TBD</x:v>
      </x:c>
      <x:c r="L286" s="28" t="str">
        <x:v>Not Started</x:v>
      </x:c>
      <x:c r="M286" s="43" t="n">
        <x:v>0</x:v>
      </x:c>
      <x:c r="N286" s="28" t="n">
        <x:v>1</x:v>
      </x:c>
      <x:c r="O286" s="28" t="str"/>
      <x:c r="P286" s="28" t="str"/>
      <x:c r="Q286" s="28" t="str"/>
      <x:c r="R286" s="28" t="str"/>
      <x:c r="S286" s="28" t="str">
        <x:v>Medium</x:v>
      </x:c>
      <x:c r="T286" s="28" t="str">
        <x:f>IF(L286="Done","Green",IF(L286="Blocked","Red",IF(TODAY()&gt;J286,"Red",IF(M286&gt;=0.6,"Yellow","Green"))))</x:f>
        <x:v>Green</x:v>
      </x:c>
      <x:c r="U286" s="28" t="str"/>
    </x:row>
    <x:row r="287">
      <x:c r="A287" s="28" t="str">
        <x:v>SV-07-0285</x:v>
      </x:c>
      <x:c r="B287" s="28" t="str">
        <x:v>Sprint 7</x:v>
      </x:c>
      <x:c r="C287" s="28" t="str">
        <x:v>Month 4</x:v>
      </x:c>
      <x:c r="D287" s="28" t="str">
        <x:v>Frontend Engineer</x:v>
      </x:c>
      <x:c r="E287" s="28" t="str">
        <x:v>Preview</x:v>
      </x:c>
      <x:c r="F287" s="28" t="str">
        <x:v>Build report preview and usage dashboard</x:v>
      </x:c>
      <x:c r="G287" s="28" t="str">
        <x:v>Preview/usage UI</x:v>
      </x:c>
      <x:c r="H287" s="28" t="str">
        <x:v>High</x:v>
      </x:c>
      <x:c r="I287" s="42" t="n">
        <x:f>INDEX('Sprint Plan'!$D$9:$D$20,MATCH(B287,'Sprint Plan'!$A$9:$A$20,0))</x:f>
        <x:v>46302</x:v>
      </x:c>
      <x:c r="J287" s="42" t="n">
        <x:f>INDEX('Sprint Plan'!$E$9:$E$20,MATCH(B287,'Sprint Plan'!$A$9:$A$20,0))</x:f>
        <x:v>46315</x:v>
      </x:c>
      <x:c r="K287" s="28" t="str">
        <x:v>TBD</x:v>
      </x:c>
      <x:c r="L287" s="28" t="str">
        <x:v>Not Started</x:v>
      </x:c>
      <x:c r="M287" s="43" t="n">
        <x:v>0</x:v>
      </x:c>
      <x:c r="N287" s="28" t="n">
        <x:v>1</x:v>
      </x:c>
      <x:c r="O287" s="28" t="str"/>
      <x:c r="P287" s="28" t="str"/>
      <x:c r="Q287" s="28" t="str"/>
      <x:c r="R287" s="28" t="str"/>
      <x:c r="S287" s="28" t="str">
        <x:v>Medium</x:v>
      </x:c>
      <x:c r="T287" s="28" t="str">
        <x:f>IF(L287="Done","Green",IF(L287="Blocked","Red",IF(TODAY()&gt;J287,"Red",IF(M287&gt;=0.6,"Yellow","Green"))))</x:f>
        <x:v>Green</x:v>
      </x:c>
      <x:c r="U287" s="28" t="str"/>
    </x:row>
    <x:row r="288">
      <x:c r="A288" s="28" t="str">
        <x:v>SV-07-0286</x:v>
      </x:c>
      <x:c r="B288" s="28" t="str">
        <x:v>Sprint 7</x:v>
      </x:c>
      <x:c r="C288" s="28" t="str">
        <x:v>Month 4</x:v>
      </x:c>
      <x:c r="D288" s="28" t="str">
        <x:v>QA/Tester</x:v>
      </x:c>
      <x:c r="E288" s="28" t="str">
        <x:v>PDF</x:v>
      </x:c>
      <x:c r="F288" s="28" t="str">
        <x:v>Test PDF export</x:v>
      </x:c>
      <x:c r="G288" s="28" t="str">
        <x:v>PDF test</x:v>
      </x:c>
      <x:c r="H288" s="28" t="str">
        <x:v>High</x:v>
      </x:c>
      <x:c r="I288" s="42" t="n">
        <x:f>INDEX('Sprint Plan'!$D$9:$D$20,MATCH(B288,'Sprint Plan'!$A$9:$A$20,0))</x:f>
        <x:v>46302</x:v>
      </x:c>
      <x:c r="J288" s="42" t="n">
        <x:f>INDEX('Sprint Plan'!$E$9:$E$20,MATCH(B288,'Sprint Plan'!$A$9:$A$20,0))</x:f>
        <x:v>46315</x:v>
      </x:c>
      <x:c r="K288" s="28" t="str">
        <x:v>TBD</x:v>
      </x:c>
      <x:c r="L288" s="28" t="str">
        <x:v>Not Started</x:v>
      </x:c>
      <x:c r="M288" s="43" t="n">
        <x:v>0</x:v>
      </x:c>
      <x:c r="N288" s="28" t="n">
        <x:v>1</x:v>
      </x:c>
      <x:c r="O288" s="28" t="str"/>
      <x:c r="P288" s="28" t="str"/>
      <x:c r="Q288" s="28" t="str"/>
      <x:c r="R288" s="28" t="str"/>
      <x:c r="S288" s="28" t="str">
        <x:v>Medium</x:v>
      </x:c>
      <x:c r="T288" s="28" t="str">
        <x:f>IF(L288="Done","Green",IF(L288="Blocked","Red",IF(TODAY()&gt;J288,"Red",IF(M288&gt;=0.6,"Yellow","Green"))))</x:f>
        <x:v>Green</x:v>
      </x:c>
      <x:c r="U288" s="28" t="str"/>
    </x:row>
    <x:row r="289">
      <x:c r="A289" s="28" t="str">
        <x:v>SV-07-0287</x:v>
      </x:c>
      <x:c r="B289" s="28" t="str">
        <x:v>Sprint 7</x:v>
      </x:c>
      <x:c r="C289" s="28" t="str">
        <x:v>Month 4</x:v>
      </x:c>
      <x:c r="D289" s="28" t="str">
        <x:v>QA/Tester</x:v>
      </x:c>
      <x:c r="E289" s="28" t="str">
        <x:v>Excel</x:v>
      </x:c>
      <x:c r="F289" s="28" t="str">
        <x:v>Test Excel export</x:v>
      </x:c>
      <x:c r="G289" s="28" t="str">
        <x:v>Excel test</x:v>
      </x:c>
      <x:c r="H289" s="28" t="str">
        <x:v>High</x:v>
      </x:c>
      <x:c r="I289" s="42" t="n">
        <x:f>INDEX('Sprint Plan'!$D$9:$D$20,MATCH(B289,'Sprint Plan'!$A$9:$A$20,0))</x:f>
        <x:v>46302</x:v>
      </x:c>
      <x:c r="J289" s="42" t="n">
        <x:f>INDEX('Sprint Plan'!$E$9:$E$20,MATCH(B289,'Sprint Plan'!$A$9:$A$20,0))</x:f>
        <x:v>46315</x:v>
      </x:c>
      <x:c r="K289" s="28" t="str">
        <x:v>TBD</x:v>
      </x:c>
      <x:c r="L289" s="28" t="str">
        <x:v>Not Started</x:v>
      </x:c>
      <x:c r="M289" s="43" t="n">
        <x:v>0</x:v>
      </x:c>
      <x:c r="N289" s="28" t="n">
        <x:v>1</x:v>
      </x:c>
      <x:c r="O289" s="28" t="str"/>
      <x:c r="P289" s="28" t="str"/>
      <x:c r="Q289" s="28" t="str"/>
      <x:c r="R289" s="28" t="str"/>
      <x:c r="S289" s="28" t="str">
        <x:v>Medium</x:v>
      </x:c>
      <x:c r="T289" s="28" t="str">
        <x:f>IF(L289="Done","Green",IF(L289="Blocked","Red",IF(TODAY()&gt;J289,"Red",IF(M289&gt;=0.6,"Yellow","Green"))))</x:f>
        <x:v>Green</x:v>
      </x:c>
      <x:c r="U289" s="28" t="str"/>
    </x:row>
    <x:row r="290">
      <x:c r="A290" s="28" t="str">
        <x:v>SV-07-0288</x:v>
      </x:c>
      <x:c r="B290" s="28" t="str">
        <x:v>Sprint 7</x:v>
      </x:c>
      <x:c r="C290" s="28" t="str">
        <x:v>Month 4</x:v>
      </x:c>
      <x:c r="D290" s="28" t="str">
        <x:v>QA/Tester</x:v>
      </x:c>
      <x:c r="E290" s="28" t="str">
        <x:v>Audit</x:v>
      </x:c>
      <x:c r="F290" s="28" t="str">
        <x:v>Test audit filter</x:v>
      </x:c>
      <x:c r="G290" s="28" t="str">
        <x:v>Audit test</x:v>
      </x:c>
      <x:c r="H290" s="28" t="str">
        <x:v>High</x:v>
      </x:c>
      <x:c r="I290" s="42" t="n">
        <x:f>INDEX('Sprint Plan'!$D$9:$D$20,MATCH(B290,'Sprint Plan'!$A$9:$A$20,0))</x:f>
        <x:v>46302</x:v>
      </x:c>
      <x:c r="J290" s="42" t="n">
        <x:f>INDEX('Sprint Plan'!$E$9:$E$20,MATCH(B290,'Sprint Plan'!$A$9:$A$20,0))</x:f>
        <x:v>46315</x:v>
      </x:c>
      <x:c r="K290" s="28" t="str">
        <x:v>TBD</x:v>
      </x:c>
      <x:c r="L290" s="28" t="str">
        <x:v>Not Started</x:v>
      </x:c>
      <x:c r="M290" s="43" t="n">
        <x:v>0</x:v>
      </x:c>
      <x:c r="N290" s="28" t="n">
        <x:v>1</x:v>
      </x:c>
      <x:c r="O290" s="28" t="str"/>
      <x:c r="P290" s="28" t="str"/>
      <x:c r="Q290" s="28" t="str"/>
      <x:c r="R290" s="28" t="str"/>
      <x:c r="S290" s="28" t="str">
        <x:v>Medium</x:v>
      </x:c>
      <x:c r="T290" s="28" t="str">
        <x:f>IF(L290="Done","Green",IF(L290="Blocked","Red",IF(TODAY()&gt;J290,"Red",IF(M290&gt;=0.6,"Yellow","Green"))))</x:f>
        <x:v>Green</x:v>
      </x:c>
      <x:c r="U290" s="28" t="str"/>
    </x:row>
    <x:row r="291">
      <x:c r="A291" s="28" t="str">
        <x:v>SV-07-0289</x:v>
      </x:c>
      <x:c r="B291" s="28" t="str">
        <x:v>Sprint 7</x:v>
      </x:c>
      <x:c r="C291" s="28" t="str">
        <x:v>Month 4</x:v>
      </x:c>
      <x:c r="D291" s="28" t="str">
        <x:v>QA/Tester</x:v>
      </x:c>
      <x:c r="E291" s="28" t="str">
        <x:v>Accuracy</x:v>
      </x:c>
      <x:c r="F291" s="28" t="str">
        <x:v>Test report accuracy</x:v>
      </x:c>
      <x:c r="G291" s="28" t="str">
        <x:v>Accuracy test</x:v>
      </x:c>
      <x:c r="H291" s="28" t="str">
        <x:v>High</x:v>
      </x:c>
      <x:c r="I291" s="42" t="n">
        <x:f>INDEX('Sprint Plan'!$D$9:$D$20,MATCH(B291,'Sprint Plan'!$A$9:$A$20,0))</x:f>
        <x:v>46302</x:v>
      </x:c>
      <x:c r="J291" s="42" t="n">
        <x:f>INDEX('Sprint Plan'!$E$9:$E$20,MATCH(B291,'Sprint Plan'!$A$9:$A$20,0))</x:f>
        <x:v>46315</x:v>
      </x:c>
      <x:c r="K291" s="28" t="str">
        <x:v>TBD</x:v>
      </x:c>
      <x:c r="L291" s="28" t="str">
        <x:v>Not Started</x:v>
      </x:c>
      <x:c r="M291" s="43" t="n">
        <x:v>0</x:v>
      </x:c>
      <x:c r="N291" s="28" t="n">
        <x:v>1</x:v>
      </x:c>
      <x:c r="O291" s="28" t="str"/>
      <x:c r="P291" s="28" t="str"/>
      <x:c r="Q291" s="28" t="str"/>
      <x:c r="R291" s="28" t="str"/>
      <x:c r="S291" s="28" t="str">
        <x:v>Medium</x:v>
      </x:c>
      <x:c r="T291" s="28" t="str">
        <x:f>IF(L291="Done","Green",IF(L291="Blocked","Red",IF(TODAY()&gt;J291,"Red",IF(M291&gt;=0.6,"Yellow","Green"))))</x:f>
        <x:v>Green</x:v>
      </x:c>
      <x:c r="U291" s="28" t="str"/>
    </x:row>
    <x:row r="292">
      <x:c r="A292" s="28" t="str">
        <x:v>SV-07-0290</x:v>
      </x:c>
      <x:c r="B292" s="28" t="str">
        <x:v>Sprint 7</x:v>
      </x:c>
      <x:c r="C292" s="28" t="str">
        <x:v>Month 4</x:v>
      </x:c>
      <x:c r="D292" s="28" t="str">
        <x:v>QA/Tester</x:v>
      </x:c>
      <x:c r="E292" s="28" t="str">
        <x:v>Access</x:v>
      </x:c>
      <x:c r="F292" s="28" t="str">
        <x:v>Test permission report</x:v>
      </x:c>
      <x:c r="G292" s="28" t="str">
        <x:v>Access test</x:v>
      </x:c>
      <x:c r="H292" s="28" t="str">
        <x:v>High</x:v>
      </x:c>
      <x:c r="I292" s="42" t="n">
        <x:f>INDEX('Sprint Plan'!$D$9:$D$20,MATCH(B292,'Sprint Plan'!$A$9:$A$20,0))</x:f>
        <x:v>46302</x:v>
      </x:c>
      <x:c r="J292" s="42" t="n">
        <x:f>INDEX('Sprint Plan'!$E$9:$E$20,MATCH(B292,'Sprint Plan'!$A$9:$A$20,0))</x:f>
        <x:v>46315</x:v>
      </x:c>
      <x:c r="K292" s="28" t="str">
        <x:v>TBD</x:v>
      </x:c>
      <x:c r="L292" s="28" t="str">
        <x:v>Not Started</x:v>
      </x:c>
      <x:c r="M292" s="43" t="n">
        <x:v>0</x:v>
      </x:c>
      <x:c r="N292" s="28" t="n">
        <x:v>1</x:v>
      </x:c>
      <x:c r="O292" s="28" t="str"/>
      <x:c r="P292" s="28" t="str"/>
      <x:c r="Q292" s="28" t="str"/>
      <x:c r="R292" s="28" t="str"/>
      <x:c r="S292" s="28" t="str">
        <x:v>Medium</x:v>
      </x:c>
      <x:c r="T292" s="28" t="str">
        <x:f>IF(L292="Done","Green",IF(L292="Blocked","Red",IF(TODAY()&gt;J292,"Red",IF(M292&gt;=0.6,"Yellow","Green"))))</x:f>
        <x:v>Green</x:v>
      </x:c>
      <x:c r="U292" s="28" t="str"/>
    </x:row>
    <x:row r="293">
      <x:c r="A293" s="28" t="str">
        <x:v>SV-07-0291</x:v>
      </x:c>
      <x:c r="B293" s="28" t="str">
        <x:v>Sprint 7</x:v>
      </x:c>
      <x:c r="C293" s="28" t="str">
        <x:v>Month 4</x:v>
      </x:c>
      <x:c r="D293" s="28" t="str">
        <x:v>Technical Writer</x:v>
      </x:c>
      <x:c r="E293" s="28" t="str">
        <x:v>Report Guide</x:v>
      </x:c>
      <x:c r="F293" s="28" t="str">
        <x:v>Report guide</x:v>
      </x:c>
      <x:c r="G293" s="28" t="str">
        <x:v>Report guide</x:v>
      </x:c>
      <x:c r="H293" s="28" t="str">
        <x:v>High</x:v>
      </x:c>
      <x:c r="I293" s="42" t="n">
        <x:f>INDEX('Sprint Plan'!$D$9:$D$20,MATCH(B293,'Sprint Plan'!$A$9:$A$20,0))</x:f>
        <x:v>46302</x:v>
      </x:c>
      <x:c r="J293" s="42" t="n">
        <x:f>INDEX('Sprint Plan'!$E$9:$E$20,MATCH(B293,'Sprint Plan'!$A$9:$A$20,0))</x:f>
        <x:v>46315</x:v>
      </x:c>
      <x:c r="K293" s="28" t="str">
        <x:v>TBD</x:v>
      </x:c>
      <x:c r="L293" s="28" t="str">
        <x:v>Not Started</x:v>
      </x:c>
      <x:c r="M293" s="43" t="n">
        <x:v>0</x:v>
      </x:c>
      <x:c r="N293" s="28" t="n">
        <x:v>1</x:v>
      </x:c>
      <x:c r="O293" s="28" t="str"/>
      <x:c r="P293" s="28" t="str"/>
      <x:c r="Q293" s="28" t="str"/>
      <x:c r="R293" s="28" t="str"/>
      <x:c r="S293" s="28" t="str">
        <x:v>Medium</x:v>
      </x:c>
      <x:c r="T293" s="28" t="str">
        <x:f>IF(L293="Done","Green",IF(L293="Blocked","Red",IF(TODAY()&gt;J293,"Red",IF(M293&gt;=0.6,"Yellow","Green"))))</x:f>
        <x:v>Green</x:v>
      </x:c>
      <x:c r="U293" s="28" t="str"/>
    </x:row>
    <x:row r="294">
      <x:c r="A294" s="28" t="str">
        <x:v>SV-07-0292</x:v>
      </x:c>
      <x:c r="B294" s="28" t="str">
        <x:v>Sprint 7</x:v>
      </x:c>
      <x:c r="C294" s="28" t="str">
        <x:v>Month 4</x:v>
      </x:c>
      <x:c r="D294" s="28" t="str">
        <x:v>Technical Writer</x:v>
      </x:c>
      <x:c r="E294" s="28" t="str">
        <x:v>Audit Guide</x:v>
      </x:c>
      <x:c r="F294" s="28" t="str">
        <x:v>Audit log guide</x:v>
      </x:c>
      <x:c r="G294" s="28" t="str">
        <x:v>Audit guide</x:v>
      </x:c>
      <x:c r="H294" s="28" t="str">
        <x:v>High</x:v>
      </x:c>
      <x:c r="I294" s="42" t="n">
        <x:f>INDEX('Sprint Plan'!$D$9:$D$20,MATCH(B294,'Sprint Plan'!$A$9:$A$20,0))</x:f>
        <x:v>46302</x:v>
      </x:c>
      <x:c r="J294" s="42" t="n">
        <x:f>INDEX('Sprint Plan'!$E$9:$E$20,MATCH(B294,'Sprint Plan'!$A$9:$A$20,0))</x:f>
        <x:v>46315</x:v>
      </x:c>
      <x:c r="K294" s="28" t="str">
        <x:v>TBD</x:v>
      </x:c>
      <x:c r="L294" s="28" t="str">
        <x:v>Not Started</x:v>
      </x:c>
      <x:c r="M294" s="43" t="n">
        <x:v>0</x:v>
      </x:c>
      <x:c r="N294" s="28" t="n">
        <x:v>1</x:v>
      </x:c>
      <x:c r="O294" s="28" t="str"/>
      <x:c r="P294" s="28" t="str"/>
      <x:c r="Q294" s="28" t="str"/>
      <x:c r="R294" s="28" t="str"/>
      <x:c r="S294" s="28" t="str">
        <x:v>Medium</x:v>
      </x:c>
      <x:c r="T294" s="28" t="str">
        <x:f>IF(L294="Done","Green",IF(L294="Blocked","Red",IF(TODAY()&gt;J294,"Red",IF(M294&gt;=0.6,"Yellow","Green"))))</x:f>
        <x:v>Green</x:v>
      </x:c>
      <x:c r="U294" s="28" t="str"/>
    </x:row>
    <x:row r="295">
      <x:c r="A295" s="28" t="str">
        <x:v>SV-07-0293</x:v>
      </x:c>
      <x:c r="B295" s="28" t="str">
        <x:v>Sprint 7</x:v>
      </x:c>
      <x:c r="C295" s="28" t="str">
        <x:v>Month 4</x:v>
      </x:c>
      <x:c r="D295" s="28" t="str">
        <x:v>Technical Writer</x:v>
      </x:c>
      <x:c r="E295" s="28" t="str">
        <x:v>Monthly</x:v>
      </x:c>
      <x:c r="F295" s="28" t="str">
        <x:v>Monthly report template</x:v>
      </x:c>
      <x:c r="G295" s="28" t="str">
        <x:v>Monthly template</x:v>
      </x:c>
      <x:c r="H295" s="28" t="str">
        <x:v>High</x:v>
      </x:c>
      <x:c r="I295" s="42" t="n">
        <x:f>INDEX('Sprint Plan'!$D$9:$D$20,MATCH(B295,'Sprint Plan'!$A$9:$A$20,0))</x:f>
        <x:v>46302</x:v>
      </x:c>
      <x:c r="J295" s="42" t="n">
        <x:f>INDEX('Sprint Plan'!$E$9:$E$20,MATCH(B295,'Sprint Plan'!$A$9:$A$20,0))</x:f>
        <x:v>46315</x:v>
      </x:c>
      <x:c r="K295" s="28" t="str">
        <x:v>TBD</x:v>
      </x:c>
      <x:c r="L295" s="28" t="str">
        <x:v>Not Started</x:v>
      </x:c>
      <x:c r="M295" s="43" t="n">
        <x:v>0</x:v>
      </x:c>
      <x:c r="N295" s="28" t="n">
        <x:v>1</x:v>
      </x:c>
      <x:c r="O295" s="28" t="str"/>
      <x:c r="P295" s="28" t="str"/>
      <x:c r="Q295" s="28" t="str"/>
      <x:c r="R295" s="28" t="str"/>
      <x:c r="S295" s="28" t="str">
        <x:v>Medium</x:v>
      </x:c>
      <x:c r="T295" s="28" t="str">
        <x:f>IF(L295="Done","Green",IF(L295="Blocked","Red",IF(TODAY()&gt;J295,"Red",IF(M295&gt;=0.6,"Yellow","Green"))))</x:f>
        <x:v>Green</x:v>
      </x:c>
      <x:c r="U295" s="28" t="str"/>
    </x:row>
    <x:row r="296">
      <x:c r="A296" s="28" t="str">
        <x:v>SV-07-0294</x:v>
      </x:c>
      <x:c r="B296" s="28" t="str">
        <x:v>Sprint 7</x:v>
      </x:c>
      <x:c r="C296" s="28" t="str">
        <x:v>Month 4</x:v>
      </x:c>
      <x:c r="D296" s="28" t="str">
        <x:v>Technical Writer</x:v>
      </x:c>
      <x:c r="E296" s="28" t="str">
        <x:v>SLA</x:v>
      </x:c>
      <x:c r="F296" s="28" t="str">
        <x:v>SLA report template</x:v>
      </x:c>
      <x:c r="G296" s="28" t="str">
        <x:v>SLA template</x:v>
      </x:c>
      <x:c r="H296" s="28" t="str">
        <x:v>High</x:v>
      </x:c>
      <x:c r="I296" s="42" t="n">
        <x:f>INDEX('Sprint Plan'!$D$9:$D$20,MATCH(B296,'Sprint Plan'!$A$9:$A$20,0))</x:f>
        <x:v>46302</x:v>
      </x:c>
      <x:c r="J296" s="42" t="n">
        <x:f>INDEX('Sprint Plan'!$E$9:$E$20,MATCH(B296,'Sprint Plan'!$A$9:$A$20,0))</x:f>
        <x:v>46315</x:v>
      </x:c>
      <x:c r="K296" s="28" t="str">
        <x:v>TBD</x:v>
      </x:c>
      <x:c r="L296" s="28" t="str">
        <x:v>Not Started</x:v>
      </x:c>
      <x:c r="M296" s="43" t="n">
        <x:v>0</x:v>
      </x:c>
      <x:c r="N296" s="28" t="n">
        <x:v>1</x:v>
      </x:c>
      <x:c r="O296" s="28" t="str"/>
      <x:c r="P296" s="28" t="str"/>
      <x:c r="Q296" s="28" t="str"/>
      <x:c r="R296" s="28" t="str"/>
      <x:c r="S296" s="28" t="str">
        <x:v>Medium</x:v>
      </x:c>
      <x:c r="T296" s="28" t="str">
        <x:f>IF(L296="Done","Green",IF(L296="Blocked","Red",IF(TODAY()&gt;J296,"Red",IF(M296&gt;=0.6,"Yellow","Green"))))</x:f>
        <x:v>Green</x:v>
      </x:c>
      <x:c r="U296" s="28" t="str"/>
    </x:row>
    <x:row r="297">
      <x:c r="A297" s="28" t="str">
        <x:v>SV-07-0295</x:v>
      </x:c>
      <x:c r="B297" s="28" t="str">
        <x:v>Sprint 7</x:v>
      </x:c>
      <x:c r="C297" s="28" t="str">
        <x:v>Month 4</x:v>
      </x:c>
      <x:c r="D297" s="28" t="str">
        <x:v>Sales/Marketing/Presales</x:v>
      </x:c>
      <x:c r="E297" s="28" t="str">
        <x:v>Sample</x:v>
      </x:c>
      <x:c r="F297" s="28" t="str">
        <x:v>Buat sample monthly report untuk calon customer</x:v>
      </x:c>
      <x:c r="G297" s="28" t="str">
        <x:v>Sample report</x:v>
      </x:c>
      <x:c r="H297" s="28" t="str">
        <x:v>High</x:v>
      </x:c>
      <x:c r="I297" s="42" t="n">
        <x:f>INDEX('Sprint Plan'!$D$9:$D$20,MATCH(B297,'Sprint Plan'!$A$9:$A$20,0))</x:f>
        <x:v>46302</x:v>
      </x:c>
      <x:c r="J297" s="42" t="n">
        <x:f>INDEX('Sprint Plan'!$E$9:$E$20,MATCH(B297,'Sprint Plan'!$A$9:$A$20,0))</x:f>
        <x:v>46315</x:v>
      </x:c>
      <x:c r="K297" s="28" t="str">
        <x:v>TBD</x:v>
      </x:c>
      <x:c r="L297" s="28" t="str">
        <x:v>Not Started</x:v>
      </x:c>
      <x:c r="M297" s="43" t="n">
        <x:v>0</x:v>
      </x:c>
      <x:c r="N297" s="28" t="n">
        <x:v>1</x:v>
      </x:c>
      <x:c r="O297" s="28" t="str"/>
      <x:c r="P297" s="28" t="str"/>
      <x:c r="Q297" s="28" t="str"/>
      <x:c r="R297" s="28" t="str"/>
      <x:c r="S297" s="28" t="str">
        <x:v>Medium</x:v>
      </x:c>
      <x:c r="T297" s="28" t="str">
        <x:f>IF(L297="Done","Green",IF(L297="Blocked","Red",IF(TODAY()&gt;J297,"Red",IF(M297&gt;=0.6,"Yellow","Green"))))</x:f>
        <x:v>Green</x:v>
      </x:c>
      <x:c r="U297" s="28" t="str"/>
    </x:row>
    <x:row r="298">
      <x:c r="A298" s="28" t="str">
        <x:v>SV-07-0296</x:v>
      </x:c>
      <x:c r="B298" s="28" t="str">
        <x:v>Sprint 7</x:v>
      </x:c>
      <x:c r="C298" s="28" t="str">
        <x:v>Month 4</x:v>
      </x:c>
      <x:c r="D298" s="28" t="str">
        <x:v>Sales/Marketing/Presales</x:v>
      </x:c>
      <x:c r="E298" s="28" t="str">
        <x:v>Pitch</x:v>
      </x:c>
      <x:c r="F298" s="28" t="str">
        <x:v>Buat sales argument untuk manajemen</x:v>
      </x:c>
      <x:c r="G298" s="28" t="str">
        <x:v>Management pitch</x:v>
      </x:c>
      <x:c r="H298" s="28" t="str">
        <x:v>High</x:v>
      </x:c>
      <x:c r="I298" s="42" t="n">
        <x:f>INDEX('Sprint Plan'!$D$9:$D$20,MATCH(B298,'Sprint Plan'!$A$9:$A$20,0))</x:f>
        <x:v>46302</x:v>
      </x:c>
      <x:c r="J298" s="42" t="n">
        <x:f>INDEX('Sprint Plan'!$E$9:$E$20,MATCH(B298,'Sprint Plan'!$A$9:$A$20,0))</x:f>
        <x:v>46315</x:v>
      </x:c>
      <x:c r="K298" s="28" t="str">
        <x:v>TBD</x:v>
      </x:c>
      <x:c r="L298" s="28" t="str">
        <x:v>Not Started</x:v>
      </x:c>
      <x:c r="M298" s="43" t="n">
        <x:v>0</x:v>
      </x:c>
      <x:c r="N298" s="28" t="n">
        <x:v>1</x:v>
      </x:c>
      <x:c r="O298" s="28" t="str"/>
      <x:c r="P298" s="28" t="str"/>
      <x:c r="Q298" s="28" t="str"/>
      <x:c r="R298" s="28" t="str"/>
      <x:c r="S298" s="28" t="str">
        <x:v>Medium</x:v>
      </x:c>
      <x:c r="T298" s="28" t="str">
        <x:f>IF(L298="Done","Green",IF(L298="Blocked","Red",IF(TODAY()&gt;J298,"Red",IF(M298&gt;=0.6,"Yellow","Green"))))</x:f>
        <x:v>Green</x:v>
      </x:c>
      <x:c r="U298" s="28" t="str"/>
    </x:row>
    <x:row r="299">
      <x:c r="A299" s="28" t="str">
        <x:v>SV-07-0297</x:v>
      </x:c>
      <x:c r="B299" s="28" t="str">
        <x:v>Sprint 7</x:v>
      </x:c>
      <x:c r="C299" s="28" t="str">
        <x:v>Month 4</x:v>
      </x:c>
      <x:c r="D299" s="28" t="str">
        <x:v>Sales/Marketing/Presales</x:v>
      </x:c>
      <x:c r="E299" s="28" t="str">
        <x:v>ROI</x:v>
      </x:c>
      <x:c r="F299" s="28" t="str">
        <x:v>Buat ROI narrative</x:v>
      </x:c>
      <x:c r="G299" s="28" t="str">
        <x:v>ROI narrative</x:v>
      </x:c>
      <x:c r="H299" s="28" t="str">
        <x:v>High</x:v>
      </x:c>
      <x:c r="I299" s="42" t="n">
        <x:f>INDEX('Sprint Plan'!$D$9:$D$20,MATCH(B299,'Sprint Plan'!$A$9:$A$20,0))</x:f>
        <x:v>46302</x:v>
      </x:c>
      <x:c r="J299" s="42" t="n">
        <x:f>INDEX('Sprint Plan'!$E$9:$E$20,MATCH(B299,'Sprint Plan'!$A$9:$A$20,0))</x:f>
        <x:v>46315</x:v>
      </x:c>
      <x:c r="K299" s="28" t="str">
        <x:v>TBD</x:v>
      </x:c>
      <x:c r="L299" s="28" t="str">
        <x:v>Not Started</x:v>
      </x:c>
      <x:c r="M299" s="43" t="n">
        <x:v>0</x:v>
      </x:c>
      <x:c r="N299" s="28" t="n">
        <x:v>1</x:v>
      </x:c>
      <x:c r="O299" s="28" t="str"/>
      <x:c r="P299" s="28" t="str"/>
      <x:c r="Q299" s="28" t="str"/>
      <x:c r="R299" s="28" t="str"/>
      <x:c r="S299" s="28" t="str">
        <x:v>Medium</x:v>
      </x:c>
      <x:c r="T299" s="28" t="str">
        <x:f>IF(L299="Done","Green",IF(L299="Blocked","Red",IF(TODAY()&gt;J299,"Red",IF(M299&gt;=0.6,"Yellow","Green"))))</x:f>
        <x:v>Green</x:v>
      </x:c>
      <x:c r="U299" s="28" t="str"/>
    </x:row>
    <x:row r="300">
      <x:c r="A300" s="28" t="str">
        <x:v>SV-07-0298</x:v>
      </x:c>
      <x:c r="B300" s="28" t="str">
        <x:v>Sprint 7</x:v>
      </x:c>
      <x:c r="C300" s="28" t="str">
        <x:v>Month 4</x:v>
      </x:c>
      <x:c r="D300" s="28" t="str">
        <x:v>Sales/Marketing/Presales</x:v>
      </x:c>
      <x:c r="E300" s="28" t="str">
        <x:v>Procurement</x:v>
      </x:c>
      <x:c r="F300" s="28" t="str">
        <x:v>Buat procurement-ready narrative</x:v>
      </x:c>
      <x:c r="G300" s="28" t="str">
        <x:v>Procurement pitch</x:v>
      </x:c>
      <x:c r="H300" s="28" t="str">
        <x:v>High</x:v>
      </x:c>
      <x:c r="I300" s="42" t="n">
        <x:f>INDEX('Sprint Plan'!$D$9:$D$20,MATCH(B300,'Sprint Plan'!$A$9:$A$20,0))</x:f>
        <x:v>46302</x:v>
      </x:c>
      <x:c r="J300" s="42" t="n">
        <x:f>INDEX('Sprint Plan'!$E$9:$E$20,MATCH(B300,'Sprint Plan'!$A$9:$A$20,0))</x:f>
        <x:v>46315</x:v>
      </x:c>
      <x:c r="K300" s="28" t="str">
        <x:v>TBD</x:v>
      </x:c>
      <x:c r="L300" s="28" t="str">
        <x:v>Not Started</x:v>
      </x:c>
      <x:c r="M300" s="43" t="n">
        <x:v>0</x:v>
      </x:c>
      <x:c r="N300" s="28" t="n">
        <x:v>1</x:v>
      </x:c>
      <x:c r="O300" s="28" t="str"/>
      <x:c r="P300" s="28" t="str"/>
      <x:c r="Q300" s="28" t="str"/>
      <x:c r="R300" s="28" t="str"/>
      <x:c r="S300" s="28" t="str">
        <x:v>Medium</x:v>
      </x:c>
      <x:c r="T300" s="28" t="str">
        <x:f>IF(L300="Done","Green",IF(L300="Blocked","Red",IF(TODAY()&gt;J300,"Red",IF(M300&gt;=0.6,"Yellow","Green"))))</x:f>
        <x:v>Green</x:v>
      </x:c>
      <x:c r="U300" s="28" t="str"/>
    </x:row>
    <x:row r="301">
      <x:c r="A301" s="28" t="str">
        <x:v>SV-07-0299</x:v>
      </x:c>
      <x:c r="B301" s="28" t="str">
        <x:v>Sprint 7</x:v>
      </x:c>
      <x:c r="C301" s="28" t="str">
        <x:v>Month 4</x:v>
      </x:c>
      <x:c r="D301" s="28" t="str">
        <x:v>Sales/Marketing/Presales</x:v>
      </x:c>
      <x:c r="E301" s="28" t="str">
        <x:v>Proposal</x:v>
      </x:c>
      <x:c r="F301" s="28" t="str">
        <x:v>Update proposal template dengan report value</x:v>
      </x:c>
      <x:c r="G301" s="28" t="str">
        <x:v>Proposal v2</x:v>
      </x:c>
      <x:c r="H301" s="28" t="str">
        <x:v>High</x:v>
      </x:c>
      <x:c r="I301" s="42" t="n">
        <x:f>INDEX('Sprint Plan'!$D$9:$D$20,MATCH(B301,'Sprint Plan'!$A$9:$A$20,0))</x:f>
        <x:v>46302</x:v>
      </x:c>
      <x:c r="J301" s="42" t="n">
        <x:f>INDEX('Sprint Plan'!$E$9:$E$20,MATCH(B301,'Sprint Plan'!$A$9:$A$20,0))</x:f>
        <x:v>46315</x:v>
      </x:c>
      <x:c r="K301" s="28" t="str">
        <x:v>TBD</x:v>
      </x:c>
      <x:c r="L301" s="28" t="str">
        <x:v>Not Started</x:v>
      </x:c>
      <x:c r="M301" s="43" t="n">
        <x:v>0</x:v>
      </x:c>
      <x:c r="N301" s="28" t="n">
        <x:v>1</x:v>
      </x:c>
      <x:c r="O301" s="28" t="str"/>
      <x:c r="P301" s="28" t="str"/>
      <x:c r="Q301" s="28" t="str"/>
      <x:c r="R301" s="28" t="str"/>
      <x:c r="S301" s="28" t="str">
        <x:v>Medium</x:v>
      </x:c>
      <x:c r="T301" s="28" t="str">
        <x:f>IF(L301="Done","Green",IF(L301="Blocked","Red",IF(TODAY()&gt;J301,"Red",IF(M301&gt;=0.6,"Yellow","Green"))))</x:f>
        <x:v>Green</x:v>
      </x:c>
      <x:c r="U301" s="28" t="str"/>
    </x:row>
    <x:row r="302">
      <x:c r="A302" s="28" t="str">
        <x:v>SV-08-0300</x:v>
      </x:c>
      <x:c r="B302" s="28" t="str">
        <x:v>Sprint 8</x:v>
      </x:c>
      <x:c r="C302" s="28" t="str">
        <x:v>Month 5</x:v>
      </x:c>
      <x:c r="D302" s="28" t="str">
        <x:v>Product Owner</x:v>
      </x:c>
      <x:c r="E302" s="28" t="str">
        <x:v>Source</x:v>
      </x:c>
      <x:c r="F302" s="28" t="str">
        <x:v>Definisikan migration source awal</x:v>
      </x:c>
      <x:c r="G302" s="28" t="str">
        <x:v>Source scope</x:v>
      </x:c>
      <x:c r="H302" s="28" t="str">
        <x:v>High</x:v>
      </x:c>
      <x:c r="I302" s="42" t="n">
        <x:f>INDEX('Sprint Plan'!$D$9:$D$20,MATCH(B302,'Sprint Plan'!$A$9:$A$20,0))</x:f>
        <x:v>46316</x:v>
      </x:c>
      <x:c r="J302" s="42" t="n">
        <x:f>INDEX('Sprint Plan'!$E$9:$E$20,MATCH(B302,'Sprint Plan'!$A$9:$A$20,0))</x:f>
        <x:v>46329</x:v>
      </x:c>
      <x:c r="K302" s="28" t="str">
        <x:v>TBD</x:v>
      </x:c>
      <x:c r="L302" s="28" t="str">
        <x:v>Not Started</x:v>
      </x:c>
      <x:c r="M302" s="43" t="n">
        <x:v>0</x:v>
      </x:c>
      <x:c r="N302" s="28" t="n">
        <x:v>1</x:v>
      </x:c>
      <x:c r="O302" s="28" t="str"/>
      <x:c r="P302" s="28" t="str"/>
      <x:c r="Q302" s="28" t="str"/>
      <x:c r="R302" s="28" t="str"/>
      <x:c r="S302" s="28" t="str">
        <x:v>Medium</x:v>
      </x:c>
      <x:c r="T302" s="28" t="str">
        <x:f>IF(L302="Done","Green",IF(L302="Blocked","Red",IF(TODAY()&gt;J302,"Red",IF(M302&gt;=0.6,"Yellow","Green"))))</x:f>
        <x:v>Green</x:v>
      </x:c>
      <x:c r="U302" s="28" t="str"/>
    </x:row>
    <x:row r="303">
      <x:c r="A303" s="28" t="str">
        <x:v>SV-08-0301</x:v>
      </x:c>
      <x:c r="B303" s="28" t="str">
        <x:v>Sprint 8</x:v>
      </x:c>
      <x:c r="C303" s="28" t="str">
        <x:v>Month 5</x:v>
      </x:c>
      <x:c r="D303" s="28" t="str">
        <x:v>Product Owner</x:v>
      </x:c>
      <x:c r="E303" s="28" t="str">
        <x:v>Workflow</x:v>
      </x:c>
      <x:c r="F303" s="28" t="str">
        <x:v>Definisikan migration workflow</x:v>
      </x:c>
      <x:c r="G303" s="28" t="str">
        <x:v>Workflow spec</x:v>
      </x:c>
      <x:c r="H303" s="28" t="str">
        <x:v>High</x:v>
      </x:c>
      <x:c r="I303" s="42" t="n">
        <x:f>INDEX('Sprint Plan'!$D$9:$D$20,MATCH(B303,'Sprint Plan'!$A$9:$A$20,0))</x:f>
        <x:v>46316</x:v>
      </x:c>
      <x:c r="J303" s="42" t="n">
        <x:f>INDEX('Sprint Plan'!$E$9:$E$20,MATCH(B303,'Sprint Plan'!$A$9:$A$20,0))</x:f>
        <x:v>46329</x:v>
      </x:c>
      <x:c r="K303" s="28" t="str">
        <x:v>TBD</x:v>
      </x:c>
      <x:c r="L303" s="28" t="str">
        <x:v>Not Started</x:v>
      </x:c>
      <x:c r="M303" s="43" t="n">
        <x:v>0</x:v>
      </x:c>
      <x:c r="N303" s="28" t="n">
        <x:v>1</x:v>
      </x:c>
      <x:c r="O303" s="28" t="str"/>
      <x:c r="P303" s="28" t="str"/>
      <x:c r="Q303" s="28" t="str"/>
      <x:c r="R303" s="28" t="str"/>
      <x:c r="S303" s="28" t="str">
        <x:v>Medium</x:v>
      </x:c>
      <x:c r="T303" s="28" t="str">
        <x:f>IF(L303="Done","Green",IF(L303="Blocked","Red",IF(TODAY()&gt;J303,"Red",IF(M303&gt;=0.6,"Yellow","Green"))))</x:f>
        <x:v>Green</x:v>
      </x:c>
      <x:c r="U303" s="28" t="str"/>
    </x:row>
    <x:row r="304">
      <x:c r="A304" s="28" t="str">
        <x:v>SV-08-0302</x:v>
      </x:c>
      <x:c r="B304" s="28" t="str">
        <x:v>Sprint 8</x:v>
      </x:c>
      <x:c r="C304" s="28" t="str">
        <x:v>Month 5</x:v>
      </x:c>
      <x:c r="D304" s="28" t="str">
        <x:v>Product Owner</x:v>
      </x:c>
      <x:c r="E304" s="28" t="str">
        <x:v>Inventory</x:v>
      </x:c>
      <x:c r="F304" s="28" t="str">
        <x:v>Definisikan data inventory</x:v>
      </x:c>
      <x:c r="G304" s="28" t="str">
        <x:v>Inventory spec</x:v>
      </x:c>
      <x:c r="H304" s="28" t="str">
        <x:v>High</x:v>
      </x:c>
      <x:c r="I304" s="42" t="n">
        <x:f>INDEX('Sprint Plan'!$D$9:$D$20,MATCH(B304,'Sprint Plan'!$A$9:$A$20,0))</x:f>
        <x:v>46316</x:v>
      </x:c>
      <x:c r="J304" s="42" t="n">
        <x:f>INDEX('Sprint Plan'!$E$9:$E$20,MATCH(B304,'Sprint Plan'!$A$9:$A$20,0))</x:f>
        <x:v>46329</x:v>
      </x:c>
      <x:c r="K304" s="28" t="str">
        <x:v>TBD</x:v>
      </x:c>
      <x:c r="L304" s="28" t="str">
        <x:v>Not Started</x:v>
      </x:c>
      <x:c r="M304" s="43" t="n">
        <x:v>0</x:v>
      </x:c>
      <x:c r="N304" s="28" t="n">
        <x:v>1</x:v>
      </x:c>
      <x:c r="O304" s="28" t="str"/>
      <x:c r="P304" s="28" t="str"/>
      <x:c r="Q304" s="28" t="str"/>
      <x:c r="R304" s="28" t="str"/>
      <x:c r="S304" s="28" t="str">
        <x:v>Medium</x:v>
      </x:c>
      <x:c r="T304" s="28" t="str">
        <x:f>IF(L304="Done","Green",IF(L304="Blocked","Red",IF(TODAY()&gt;J304,"Red",IF(M304&gt;=0.6,"Yellow","Green"))))</x:f>
        <x:v>Green</x:v>
      </x:c>
      <x:c r="U304" s="28" t="str"/>
    </x:row>
    <x:row r="305">
      <x:c r="A305" s="28" t="str">
        <x:v>SV-08-0303</x:v>
      </x:c>
      <x:c r="B305" s="28" t="str">
        <x:v>Sprint 8</x:v>
      </x:c>
      <x:c r="C305" s="28" t="str">
        <x:v>Month 5</x:v>
      </x:c>
      <x:c r="D305" s="28" t="str">
        <x:v>Product Owner</x:v>
      </x:c>
      <x:c r="E305" s="28" t="str">
        <x:v>Cutover</x:v>
      </x:c>
      <x:c r="F305" s="28" t="str">
        <x:v>Definisikan cutover checklist</x:v>
      </x:c>
      <x:c r="G305" s="28" t="str">
        <x:v>Cutover checklist</x:v>
      </x:c>
      <x:c r="H305" s="28" t="str">
        <x:v>High</x:v>
      </x:c>
      <x:c r="I305" s="42" t="n">
        <x:f>INDEX('Sprint Plan'!$D$9:$D$20,MATCH(B305,'Sprint Plan'!$A$9:$A$20,0))</x:f>
        <x:v>46316</x:v>
      </x:c>
      <x:c r="J305" s="42" t="n">
        <x:f>INDEX('Sprint Plan'!$E$9:$E$20,MATCH(B305,'Sprint Plan'!$A$9:$A$20,0))</x:f>
        <x:v>46329</x:v>
      </x:c>
      <x:c r="K305" s="28" t="str">
        <x:v>TBD</x:v>
      </x:c>
      <x:c r="L305" s="28" t="str">
        <x:v>Not Started</x:v>
      </x:c>
      <x:c r="M305" s="43" t="n">
        <x:v>0</x:v>
      </x:c>
      <x:c r="N305" s="28" t="n">
        <x:v>1</x:v>
      </x:c>
      <x:c r="O305" s="28" t="str"/>
      <x:c r="P305" s="28" t="str"/>
      <x:c r="Q305" s="28" t="str"/>
      <x:c r="R305" s="28" t="str"/>
      <x:c r="S305" s="28" t="str">
        <x:v>Medium</x:v>
      </x:c>
      <x:c r="T305" s="28" t="str">
        <x:f>IF(L305="Done","Green",IF(L305="Blocked","Red",IF(TODAY()&gt;J305,"Red",IF(M305&gt;=0.6,"Yellow","Green"))))</x:f>
        <x:v>Green</x:v>
      </x:c>
      <x:c r="U305" s="28" t="str"/>
    </x:row>
    <x:row r="306">
      <x:c r="A306" s="28" t="str">
        <x:v>SV-08-0304</x:v>
      </x:c>
      <x:c r="B306" s="28" t="str">
        <x:v>Sprint 8</x:v>
      </x:c>
      <x:c r="C306" s="28" t="str">
        <x:v>Month 5</x:v>
      </x:c>
      <x:c r="D306" s="28" t="str">
        <x:v>Product Owner</x:v>
      </x:c>
      <x:c r="E306" s="28" t="str">
        <x:v>Rollback</x:v>
      </x:c>
      <x:c r="F306" s="28" t="str">
        <x:v>Definisikan rollback checklist</x:v>
      </x:c>
      <x:c r="G306" s="28" t="str">
        <x:v>Rollback checklist</x:v>
      </x:c>
      <x:c r="H306" s="28" t="str">
        <x:v>High</x:v>
      </x:c>
      <x:c r="I306" s="42" t="n">
        <x:f>INDEX('Sprint Plan'!$D$9:$D$20,MATCH(B306,'Sprint Plan'!$A$9:$A$20,0))</x:f>
        <x:v>46316</x:v>
      </x:c>
      <x:c r="J306" s="42" t="n">
        <x:f>INDEX('Sprint Plan'!$E$9:$E$20,MATCH(B306,'Sprint Plan'!$A$9:$A$20,0))</x:f>
        <x:v>46329</x:v>
      </x:c>
      <x:c r="K306" s="28" t="str">
        <x:v>TBD</x:v>
      </x:c>
      <x:c r="L306" s="28" t="str">
        <x:v>Not Started</x:v>
      </x:c>
      <x:c r="M306" s="43" t="n">
        <x:v>0</x:v>
      </x:c>
      <x:c r="N306" s="28" t="n">
        <x:v>1</x:v>
      </x:c>
      <x:c r="O306" s="28" t="str"/>
      <x:c r="P306" s="28" t="str"/>
      <x:c r="Q306" s="28" t="str"/>
      <x:c r="R306" s="28" t="str"/>
      <x:c r="S306" s="28" t="str">
        <x:v>Medium</x:v>
      </x:c>
      <x:c r="T306" s="28" t="str">
        <x:f>IF(L306="Done","Green",IF(L306="Blocked","Red",IF(TODAY()&gt;J306,"Red",IF(M306&gt;=0.6,"Yellow","Green"))))</x:f>
        <x:v>Green</x:v>
      </x:c>
      <x:c r="U306" s="28" t="str"/>
    </x:row>
    <x:row r="307">
      <x:c r="A307" s="28" t="str">
        <x:v>SV-08-0305</x:v>
      </x:c>
      <x:c r="B307" s="28" t="str">
        <x:v>Sprint 8</x:v>
      </x:c>
      <x:c r="C307" s="28" t="str">
        <x:v>Month 5</x:v>
      </x:c>
      <x:c r="D307" s="28" t="str">
        <x:v>Solution Architect</x:v>
      </x:c>
      <x:c r="E307" s="28" t="str">
        <x:v>Arch</x:v>
      </x:c>
      <x:c r="F307" s="28" t="str">
        <x:v>Desain migration architecture</x:v>
      </x:c>
      <x:c r="G307" s="28" t="str">
        <x:v>Migration design</x:v>
      </x:c>
      <x:c r="H307" s="28" t="str">
        <x:v>High</x:v>
      </x:c>
      <x:c r="I307" s="42" t="n">
        <x:f>INDEX('Sprint Plan'!$D$9:$D$20,MATCH(B307,'Sprint Plan'!$A$9:$A$20,0))</x:f>
        <x:v>46316</x:v>
      </x:c>
      <x:c r="J307" s="42" t="n">
        <x:f>INDEX('Sprint Plan'!$E$9:$E$20,MATCH(B307,'Sprint Plan'!$A$9:$A$20,0))</x:f>
        <x:v>46329</x:v>
      </x:c>
      <x:c r="K307" s="28" t="str">
        <x:v>TBD</x:v>
      </x:c>
      <x:c r="L307" s="28" t="str">
        <x:v>Not Started</x:v>
      </x:c>
      <x:c r="M307" s="43" t="n">
        <x:v>0</x:v>
      </x:c>
      <x:c r="N307" s="28" t="n">
        <x:v>1</x:v>
      </x:c>
      <x:c r="O307" s="28" t="str"/>
      <x:c r="P307" s="28" t="str"/>
      <x:c r="Q307" s="28" t="str"/>
      <x:c r="R307" s="28" t="str"/>
      <x:c r="S307" s="28" t="str">
        <x:v>Medium</x:v>
      </x:c>
      <x:c r="T307" s="28" t="str">
        <x:f>IF(L307="Done","Green",IF(L307="Blocked","Red",IF(TODAY()&gt;J307,"Red",IF(M307&gt;=0.6,"Yellow","Green"))))</x:f>
        <x:v>Green</x:v>
      </x:c>
      <x:c r="U307" s="28" t="str"/>
    </x:row>
    <x:row r="308">
      <x:c r="A308" s="28" t="str">
        <x:v>SV-08-0306</x:v>
      </x:c>
      <x:c r="B308" s="28" t="str">
        <x:v>Sprint 8</x:v>
      </x:c>
      <x:c r="C308" s="28" t="str">
        <x:v>Month 5</x:v>
      </x:c>
      <x:c r="D308" s="28" t="str">
        <x:v>Solution Architect</x:v>
      </x:c>
      <x:c r="E308" s="28" t="str">
        <x:v>Import</x:v>
      </x:c>
      <x:c r="F308" s="28" t="str">
        <x:v>Desain import image flow</x:v>
      </x:c>
      <x:c r="G308" s="28" t="str">
        <x:v>Import flow</x:v>
      </x:c>
      <x:c r="H308" s="28" t="str">
        <x:v>High</x:v>
      </x:c>
      <x:c r="I308" s="42" t="n">
        <x:f>INDEX('Sprint Plan'!$D$9:$D$20,MATCH(B308,'Sprint Plan'!$A$9:$A$20,0))</x:f>
        <x:v>46316</x:v>
      </x:c>
      <x:c r="J308" s="42" t="n">
        <x:f>INDEX('Sprint Plan'!$E$9:$E$20,MATCH(B308,'Sprint Plan'!$A$9:$A$20,0))</x:f>
        <x:v>46329</x:v>
      </x:c>
      <x:c r="K308" s="28" t="str">
        <x:v>TBD</x:v>
      </x:c>
      <x:c r="L308" s="28" t="str">
        <x:v>Not Started</x:v>
      </x:c>
      <x:c r="M308" s="43" t="n">
        <x:v>0</x:v>
      </x:c>
      <x:c r="N308" s="28" t="n">
        <x:v>1</x:v>
      </x:c>
      <x:c r="O308" s="28" t="str"/>
      <x:c r="P308" s="28" t="str"/>
      <x:c r="Q308" s="28" t="str"/>
      <x:c r="R308" s="28" t="str"/>
      <x:c r="S308" s="28" t="str">
        <x:v>Medium</x:v>
      </x:c>
      <x:c r="T308" s="28" t="str">
        <x:f>IF(L308="Done","Green",IF(L308="Blocked","Red",IF(TODAY()&gt;J308,"Red",IF(M308&gt;=0.6,"Yellow","Green"))))</x:f>
        <x:v>Green</x:v>
      </x:c>
      <x:c r="U308" s="28" t="str"/>
    </x:row>
    <x:row r="309">
      <x:c r="A309" s="28" t="str">
        <x:v>SV-08-0307</x:v>
      </x:c>
      <x:c r="B309" s="28" t="str">
        <x:v>Sprint 8</x:v>
      </x:c>
      <x:c r="C309" s="28" t="str">
        <x:v>Month 5</x:v>
      </x:c>
      <x:c r="D309" s="28" t="str">
        <x:v>Solution Architect</x:v>
      </x:c>
      <x:c r="E309" s="28" t="str">
        <x:v>Compatibility</x:v>
      </x:c>
      <x:c r="F309" s="28" t="str">
        <x:v>Desain compatibility checklist</x:v>
      </x:c>
      <x:c r="G309" s="28" t="str">
        <x:v>Compatibility checklist</x:v>
      </x:c>
      <x:c r="H309" s="28" t="str">
        <x:v>High</x:v>
      </x:c>
      <x:c r="I309" s="42" t="n">
        <x:f>INDEX('Sprint Plan'!$D$9:$D$20,MATCH(B309,'Sprint Plan'!$A$9:$A$20,0))</x:f>
        <x:v>46316</x:v>
      </x:c>
      <x:c r="J309" s="42" t="n">
        <x:f>INDEX('Sprint Plan'!$E$9:$E$20,MATCH(B309,'Sprint Plan'!$A$9:$A$20,0))</x:f>
        <x:v>46329</x:v>
      </x:c>
      <x:c r="K309" s="28" t="str">
        <x:v>TBD</x:v>
      </x:c>
      <x:c r="L309" s="28" t="str">
        <x:v>Not Started</x:v>
      </x:c>
      <x:c r="M309" s="43" t="n">
        <x:v>0</x:v>
      </x:c>
      <x:c r="N309" s="28" t="n">
        <x:v>1</x:v>
      </x:c>
      <x:c r="O309" s="28" t="str"/>
      <x:c r="P309" s="28" t="str"/>
      <x:c r="Q309" s="28" t="str"/>
      <x:c r="R309" s="28" t="str"/>
      <x:c r="S309" s="28" t="str">
        <x:v>Medium</x:v>
      </x:c>
      <x:c r="T309" s="28" t="str">
        <x:f>IF(L309="Done","Green",IF(L309="Blocked","Red",IF(TODAY()&gt;J309,"Red",IF(M309&gt;=0.6,"Yellow","Green"))))</x:f>
        <x:v>Green</x:v>
      </x:c>
      <x:c r="U309" s="28" t="str"/>
    </x:row>
    <x:row r="310">
      <x:c r="A310" s="28" t="str">
        <x:v>SV-08-0308</x:v>
      </x:c>
      <x:c r="B310" s="28" t="str">
        <x:v>Sprint 8</x:v>
      </x:c>
      <x:c r="C310" s="28" t="str">
        <x:v>Month 5</x:v>
      </x:c>
      <x:c r="D310" s="28" t="str">
        <x:v>Solution Architect</x:v>
      </x:c>
      <x:c r="E310" s="28" t="str">
        <x:v>Risk</x:v>
      </x:c>
      <x:c r="F310" s="28" t="str">
        <x:v>Desain migration risk scoring</x:v>
      </x:c>
      <x:c r="G310" s="28" t="str">
        <x:v>Risk scoring</x:v>
      </x:c>
      <x:c r="H310" s="28" t="str">
        <x:v>High</x:v>
      </x:c>
      <x:c r="I310" s="42" t="n">
        <x:f>INDEX('Sprint Plan'!$D$9:$D$20,MATCH(B310,'Sprint Plan'!$A$9:$A$20,0))</x:f>
        <x:v>46316</x:v>
      </x:c>
      <x:c r="J310" s="42" t="n">
        <x:f>INDEX('Sprint Plan'!$E$9:$E$20,MATCH(B310,'Sprint Plan'!$A$9:$A$20,0))</x:f>
        <x:v>46329</x:v>
      </x:c>
      <x:c r="K310" s="28" t="str">
        <x:v>TBD</x:v>
      </x:c>
      <x:c r="L310" s="28" t="str">
        <x:v>Not Started</x:v>
      </x:c>
      <x:c r="M310" s="43" t="n">
        <x:v>0</x:v>
      </x:c>
      <x:c r="N310" s="28" t="n">
        <x:v>1</x:v>
      </x:c>
      <x:c r="O310" s="28" t="str"/>
      <x:c r="P310" s="28" t="str"/>
      <x:c r="Q310" s="28" t="str"/>
      <x:c r="R310" s="28" t="str"/>
      <x:c r="S310" s="28" t="str">
        <x:v>Medium</x:v>
      </x:c>
      <x:c r="T310" s="28" t="str">
        <x:f>IF(L310="Done","Green",IF(L310="Blocked","Red",IF(TODAY()&gt;J310,"Red",IF(M310&gt;=0.6,"Yellow","Green"))))</x:f>
        <x:v>Green</x:v>
      </x:c>
      <x:c r="U310" s="28" t="str"/>
    </x:row>
    <x:row r="311">
      <x:c r="A311" s="28" t="str">
        <x:v>SV-08-0309</x:v>
      </x:c>
      <x:c r="B311" s="28" t="str">
        <x:v>Sprint 8</x:v>
      </x:c>
      <x:c r="C311" s="28" t="str">
        <x:v>Month 5</x:v>
      </x:c>
      <x:c r="D311" s="28" t="str">
        <x:v>Solution Architect</x:v>
      </x:c>
      <x:c r="E311" s="28" t="str">
        <x:v>Security</x:v>
      </x:c>
      <x:c r="F311" s="28" t="str">
        <x:v>Review security source data</x:v>
      </x:c>
      <x:c r="G311" s="28" t="str">
        <x:v>Security review</x:v>
      </x:c>
      <x:c r="H311" s="28" t="str">
        <x:v>High</x:v>
      </x:c>
      <x:c r="I311" s="42" t="n">
        <x:f>INDEX('Sprint Plan'!$D$9:$D$20,MATCH(B311,'Sprint Plan'!$A$9:$A$20,0))</x:f>
        <x:v>46316</x:v>
      </x:c>
      <x:c r="J311" s="42" t="n">
        <x:f>INDEX('Sprint Plan'!$E$9:$E$20,MATCH(B311,'Sprint Plan'!$A$9:$A$20,0))</x:f>
        <x:v>46329</x:v>
      </x:c>
      <x:c r="K311" s="28" t="str">
        <x:v>TBD</x:v>
      </x:c>
      <x:c r="L311" s="28" t="str">
        <x:v>Not Started</x:v>
      </x:c>
      <x:c r="M311" s="43" t="n">
        <x:v>0</x:v>
      </x:c>
      <x:c r="N311" s="28" t="n">
        <x:v>1</x:v>
      </x:c>
      <x:c r="O311" s="28" t="str"/>
      <x:c r="P311" s="28" t="str"/>
      <x:c r="Q311" s="28" t="str"/>
      <x:c r="R311" s="28" t="str"/>
      <x:c r="S311" s="28" t="str">
        <x:v>Medium</x:v>
      </x:c>
      <x:c r="T311" s="28" t="str">
        <x:f>IF(L311="Done","Green",IF(L311="Blocked","Red",IF(TODAY()&gt;J311,"Red",IF(M311&gt;=0.6,"Yellow","Green"))))</x:f>
        <x:v>Green</x:v>
      </x:c>
      <x:c r="U311" s="28" t="str"/>
    </x:row>
    <x:row r="312">
      <x:c r="A312" s="28" t="str">
        <x:v>SV-08-0310</x:v>
      </x:c>
      <x:c r="B312" s="28" t="str">
        <x:v>Sprint 8</x:v>
      </x:c>
      <x:c r="C312" s="28" t="str">
        <x:v>Month 5</x:v>
      </x:c>
      <x:c r="D312" s="28" t="str">
        <x:v>Infra/OpenNebula Engineer</x:v>
      </x:c>
      <x:c r="E312" s="28" t="str">
        <x:v>qcow2</x:v>
      </x:c>
      <x:c r="F312" s="28" t="str">
        <x:v>Test import qcow2</x:v>
      </x:c>
      <x:c r="G312" s="28" t="str">
        <x:v>Import test</x:v>
      </x:c>
      <x:c r="H312" s="28" t="str">
        <x:v>High</x:v>
      </x:c>
      <x:c r="I312" s="42" t="n">
        <x:f>INDEX('Sprint Plan'!$D$9:$D$20,MATCH(B312,'Sprint Plan'!$A$9:$A$20,0))</x:f>
        <x:v>46316</x:v>
      </x:c>
      <x:c r="J312" s="42" t="n">
        <x:f>INDEX('Sprint Plan'!$E$9:$E$20,MATCH(B312,'Sprint Plan'!$A$9:$A$20,0))</x:f>
        <x:v>46329</x:v>
      </x:c>
      <x:c r="K312" s="28" t="str">
        <x:v>TBD</x:v>
      </x:c>
      <x:c r="L312" s="28" t="str">
        <x:v>Not Started</x:v>
      </x:c>
      <x:c r="M312" s="43" t="n">
        <x:v>0</x:v>
      </x:c>
      <x:c r="N312" s="28" t="n">
        <x:v>1</x:v>
      </x:c>
      <x:c r="O312" s="28" t="str"/>
      <x:c r="P312" s="28" t="str"/>
      <x:c r="Q312" s="28" t="str"/>
      <x:c r="R312" s="28" t="str"/>
      <x:c r="S312" s="28" t="str">
        <x:v>Medium</x:v>
      </x:c>
      <x:c r="T312" s="28" t="str">
        <x:f>IF(L312="Done","Green",IF(L312="Blocked","Red",IF(TODAY()&gt;J312,"Red",IF(M312&gt;=0.6,"Yellow","Green"))))</x:f>
        <x:v>Green</x:v>
      </x:c>
      <x:c r="U312" s="28" t="str"/>
    </x:row>
    <x:row r="313">
      <x:c r="A313" s="28" t="str">
        <x:v>SV-08-0311</x:v>
      </x:c>
      <x:c r="B313" s="28" t="str">
        <x:v>Sprint 8</x:v>
      </x:c>
      <x:c r="C313" s="28" t="str">
        <x:v>Month 5</x:v>
      </x:c>
      <x:c r="D313" s="28" t="str">
        <x:v>Infra/OpenNebula Engineer</x:v>
      </x:c>
      <x:c r="E313" s="28" t="str">
        <x:v>VMDK</x:v>
      </x:c>
      <x:c r="F313" s="28" t="str">
        <x:v>Test import VMDK optional</x:v>
      </x:c>
      <x:c r="G313" s="28" t="str">
        <x:v>Import test</x:v>
      </x:c>
      <x:c r="H313" s="28" t="str">
        <x:v>High</x:v>
      </x:c>
      <x:c r="I313" s="42" t="n">
        <x:f>INDEX('Sprint Plan'!$D$9:$D$20,MATCH(B313,'Sprint Plan'!$A$9:$A$20,0))</x:f>
        <x:v>46316</x:v>
      </x:c>
      <x:c r="J313" s="42" t="n">
        <x:f>INDEX('Sprint Plan'!$E$9:$E$20,MATCH(B313,'Sprint Plan'!$A$9:$A$20,0))</x:f>
        <x:v>46329</x:v>
      </x:c>
      <x:c r="K313" s="28" t="str">
        <x:v>TBD</x:v>
      </x:c>
      <x:c r="L313" s="28" t="str">
        <x:v>Not Started</x:v>
      </x:c>
      <x:c r="M313" s="43" t="n">
        <x:v>0</x:v>
      </x:c>
      <x:c r="N313" s="28" t="n">
        <x:v>1</x:v>
      </x:c>
      <x:c r="O313" s="28" t="str"/>
      <x:c r="P313" s="28" t="str"/>
      <x:c r="Q313" s="28" t="str"/>
      <x:c r="R313" s="28" t="str"/>
      <x:c r="S313" s="28" t="str">
        <x:v>Medium</x:v>
      </x:c>
      <x:c r="T313" s="28" t="str">
        <x:f>IF(L313="Done","Green",IF(L313="Blocked","Red",IF(TODAY()&gt;J313,"Red",IF(M313&gt;=0.6,"Yellow","Green"))))</x:f>
        <x:v>Green</x:v>
      </x:c>
      <x:c r="U313" s="28" t="str"/>
    </x:row>
    <x:row r="314">
      <x:c r="A314" s="28" t="str">
        <x:v>SV-08-0312</x:v>
      </x:c>
      <x:c r="B314" s="28" t="str">
        <x:v>Sprint 8</x:v>
      </x:c>
      <x:c r="C314" s="28" t="str">
        <x:v>Month 5</x:v>
      </x:c>
      <x:c r="D314" s="28" t="str">
        <x:v>Infra/OpenNebula Engineer</x:v>
      </x:c>
      <x:c r="E314" s="28" t="str">
        <x:v>Boot</x:v>
      </x:c>
      <x:c r="F314" s="28" t="str">
        <x:v>Test boot imported VM</x:v>
      </x:c>
      <x:c r="G314" s="28" t="str">
        <x:v>Boot test</x:v>
      </x:c>
      <x:c r="H314" s="28" t="str">
        <x:v>High</x:v>
      </x:c>
      <x:c r="I314" s="42" t="n">
        <x:f>INDEX('Sprint Plan'!$D$9:$D$20,MATCH(B314,'Sprint Plan'!$A$9:$A$20,0))</x:f>
        <x:v>46316</x:v>
      </x:c>
      <x:c r="J314" s="42" t="n">
        <x:f>INDEX('Sprint Plan'!$E$9:$E$20,MATCH(B314,'Sprint Plan'!$A$9:$A$20,0))</x:f>
        <x:v>46329</x:v>
      </x:c>
      <x:c r="K314" s="28" t="str">
        <x:v>TBD</x:v>
      </x:c>
      <x:c r="L314" s="28" t="str">
        <x:v>Not Started</x:v>
      </x:c>
      <x:c r="M314" s="43" t="n">
        <x:v>0</x:v>
      </x:c>
      <x:c r="N314" s="28" t="n">
        <x:v>1</x:v>
      </x:c>
      <x:c r="O314" s="28" t="str"/>
      <x:c r="P314" s="28" t="str"/>
      <x:c r="Q314" s="28" t="str"/>
      <x:c r="R314" s="28" t="str"/>
      <x:c r="S314" s="28" t="str">
        <x:v>Medium</x:v>
      </x:c>
      <x:c r="T314" s="28" t="str">
        <x:f>IF(L314="Done","Green",IF(L314="Blocked","Red",IF(TODAY()&gt;J314,"Red",IF(M314&gt;=0.6,"Yellow","Green"))))</x:f>
        <x:v>Green</x:v>
      </x:c>
      <x:c r="U314" s="28" t="str"/>
    </x:row>
    <x:row r="315">
      <x:c r="A315" s="28" t="str">
        <x:v>SV-08-0313</x:v>
      </x:c>
      <x:c r="B315" s="28" t="str">
        <x:v>Sprint 8</x:v>
      </x:c>
      <x:c r="C315" s="28" t="str">
        <x:v>Month 5</x:v>
      </x:c>
      <x:c r="D315" s="28" t="str">
        <x:v>Infra/OpenNebula Engineer</x:v>
      </x:c>
      <x:c r="E315" s="28" t="str">
        <x:v>Network</x:v>
      </x:c>
      <x:c r="F315" s="28" t="str">
        <x:v>Test network mapping</x:v>
      </x:c>
      <x:c r="G315" s="28" t="str">
        <x:v>Network mapping test</x:v>
      </x:c>
      <x:c r="H315" s="28" t="str">
        <x:v>High</x:v>
      </x:c>
      <x:c r="I315" s="42" t="n">
        <x:f>INDEX('Sprint Plan'!$D$9:$D$20,MATCH(B315,'Sprint Plan'!$A$9:$A$20,0))</x:f>
        <x:v>46316</x:v>
      </x:c>
      <x:c r="J315" s="42" t="n">
        <x:f>INDEX('Sprint Plan'!$E$9:$E$20,MATCH(B315,'Sprint Plan'!$A$9:$A$20,0))</x:f>
        <x:v>46329</x:v>
      </x:c>
      <x:c r="K315" s="28" t="str">
        <x:v>TBD</x:v>
      </x:c>
      <x:c r="L315" s="28" t="str">
        <x:v>Not Started</x:v>
      </x:c>
      <x:c r="M315" s="43" t="n">
        <x:v>0</x:v>
      </x:c>
      <x:c r="N315" s="28" t="n">
        <x:v>1</x:v>
      </x:c>
      <x:c r="O315" s="28" t="str"/>
      <x:c r="P315" s="28" t="str"/>
      <x:c r="Q315" s="28" t="str"/>
      <x:c r="R315" s="28" t="str"/>
      <x:c r="S315" s="28" t="str">
        <x:v>Medium</x:v>
      </x:c>
      <x:c r="T315" s="28" t="str">
        <x:f>IF(L315="Done","Green",IF(L315="Blocked","Red",IF(TODAY()&gt;J315,"Red",IF(M315&gt;=0.6,"Yellow","Green"))))</x:f>
        <x:v>Green</x:v>
      </x:c>
      <x:c r="U315" s="28" t="str"/>
    </x:row>
    <x:row r="316">
      <x:c r="A316" s="28" t="str">
        <x:v>SV-08-0314</x:v>
      </x:c>
      <x:c r="B316" s="28" t="str">
        <x:v>Sprint 8</x:v>
      </x:c>
      <x:c r="C316" s="28" t="str">
        <x:v>Month 5</x:v>
      </x:c>
      <x:c r="D316" s="28" t="str">
        <x:v>Infra/OpenNebula Engineer</x:v>
      </x:c>
      <x:c r="E316" s="28" t="str">
        <x:v>Driver</x:v>
      </x:c>
      <x:c r="F316" s="28" t="str">
        <x:v>Test driver compatibility</x:v>
      </x:c>
      <x:c r="G316" s="28" t="str">
        <x:v>Driver note</x:v>
      </x:c>
      <x:c r="H316" s="28" t="str">
        <x:v>High</x:v>
      </x:c>
      <x:c r="I316" s="42" t="n">
        <x:f>INDEX('Sprint Plan'!$D$9:$D$20,MATCH(B316,'Sprint Plan'!$A$9:$A$20,0))</x:f>
        <x:v>46316</x:v>
      </x:c>
      <x:c r="J316" s="42" t="n">
        <x:f>INDEX('Sprint Plan'!$E$9:$E$20,MATCH(B316,'Sprint Plan'!$A$9:$A$20,0))</x:f>
        <x:v>46329</x:v>
      </x:c>
      <x:c r="K316" s="28" t="str">
        <x:v>TBD</x:v>
      </x:c>
      <x:c r="L316" s="28" t="str">
        <x:v>Not Started</x:v>
      </x:c>
      <x:c r="M316" s="43" t="n">
        <x:v>0</x:v>
      </x:c>
      <x:c r="N316" s="28" t="n">
        <x:v>1</x:v>
      </x:c>
      <x:c r="O316" s="28" t="str"/>
      <x:c r="P316" s="28" t="str"/>
      <x:c r="Q316" s="28" t="str"/>
      <x:c r="R316" s="28" t="str"/>
      <x:c r="S316" s="28" t="str">
        <x:v>Medium</x:v>
      </x:c>
      <x:c r="T316" s="28" t="str">
        <x:f>IF(L316="Done","Green",IF(L316="Blocked","Red",IF(TODAY()&gt;J316,"Red",IF(M316&gt;=0.6,"Yellow","Green"))))</x:f>
        <x:v>Green</x:v>
      </x:c>
      <x:c r="U316" s="28" t="str"/>
    </x:row>
    <x:row r="317">
      <x:c r="A317" s="28" t="str">
        <x:v>SV-08-0315</x:v>
      </x:c>
      <x:c r="B317" s="28" t="str">
        <x:v>Sprint 8</x:v>
      </x:c>
      <x:c r="C317" s="28" t="str">
        <x:v>Month 5</x:v>
      </x:c>
      <x:c r="D317" s="28" t="str">
        <x:v>Backend Engineer</x:v>
      </x:c>
      <x:c r="E317" s="28" t="str">
        <x:v>Project</x:v>
      </x:c>
      <x:c r="F317" s="28" t="str">
        <x:v>Implement migration project API</x:v>
      </x:c>
      <x:c r="G317" s="28" t="str">
        <x:v>Project API</x:v>
      </x:c>
      <x:c r="H317" s="28" t="str">
        <x:v>High</x:v>
      </x:c>
      <x:c r="I317" s="42" t="n">
        <x:f>INDEX('Sprint Plan'!$D$9:$D$20,MATCH(B317,'Sprint Plan'!$A$9:$A$20,0))</x:f>
        <x:v>46316</x:v>
      </x:c>
      <x:c r="J317" s="42" t="n">
        <x:f>INDEX('Sprint Plan'!$E$9:$E$20,MATCH(B317,'Sprint Plan'!$A$9:$A$20,0))</x:f>
        <x:v>46329</x:v>
      </x:c>
      <x:c r="K317" s="28" t="str">
        <x:v>TBD</x:v>
      </x:c>
      <x:c r="L317" s="28" t="str">
        <x:v>Not Started</x:v>
      </x:c>
      <x:c r="M317" s="43" t="n">
        <x:v>0</x:v>
      </x:c>
      <x:c r="N317" s="28" t="n">
        <x:v>1</x:v>
      </x:c>
      <x:c r="O317" s="28" t="str"/>
      <x:c r="P317" s="28" t="str"/>
      <x:c r="Q317" s="28" t="str"/>
      <x:c r="R317" s="28" t="str"/>
      <x:c r="S317" s="28" t="str">
        <x:v>Medium</x:v>
      </x:c>
      <x:c r="T317" s="28" t="str">
        <x:f>IF(L317="Done","Green",IF(L317="Blocked","Red",IF(TODAY()&gt;J317,"Red",IF(M317&gt;=0.6,"Yellow","Green"))))</x:f>
        <x:v>Green</x:v>
      </x:c>
      <x:c r="U317" s="28" t="str"/>
    </x:row>
    <x:row r="318">
      <x:c r="A318" s="28" t="str">
        <x:v>SV-08-0316</x:v>
      </x:c>
      <x:c r="B318" s="28" t="str">
        <x:v>Sprint 8</x:v>
      </x:c>
      <x:c r="C318" s="28" t="str">
        <x:v>Month 5</x:v>
      </x:c>
      <x:c r="D318" s="28" t="str">
        <x:v>Backend Engineer</x:v>
      </x:c>
      <x:c r="E318" s="28" t="str">
        <x:v>Inventory</x:v>
      </x:c>
      <x:c r="F318" s="28" t="str">
        <x:v>Implement source inventory API</x:v>
      </x:c>
      <x:c r="G318" s="28" t="str">
        <x:v>Inventory API</x:v>
      </x:c>
      <x:c r="H318" s="28" t="str">
        <x:v>High</x:v>
      </x:c>
      <x:c r="I318" s="42" t="n">
        <x:f>INDEX('Sprint Plan'!$D$9:$D$20,MATCH(B318,'Sprint Plan'!$A$9:$A$20,0))</x:f>
        <x:v>46316</x:v>
      </x:c>
      <x:c r="J318" s="42" t="n">
        <x:f>INDEX('Sprint Plan'!$E$9:$E$20,MATCH(B318,'Sprint Plan'!$A$9:$A$20,0))</x:f>
        <x:v>46329</x:v>
      </x:c>
      <x:c r="K318" s="28" t="str">
        <x:v>TBD</x:v>
      </x:c>
      <x:c r="L318" s="28" t="str">
        <x:v>Not Started</x:v>
      </x:c>
      <x:c r="M318" s="43" t="n">
        <x:v>0</x:v>
      </x:c>
      <x:c r="N318" s="28" t="n">
        <x:v>1</x:v>
      </x:c>
      <x:c r="O318" s="28" t="str"/>
      <x:c r="P318" s="28" t="str"/>
      <x:c r="Q318" s="28" t="str"/>
      <x:c r="R318" s="28" t="str"/>
      <x:c r="S318" s="28" t="str">
        <x:v>Medium</x:v>
      </x:c>
      <x:c r="T318" s="28" t="str">
        <x:f>IF(L318="Done","Green",IF(L318="Blocked","Red",IF(TODAY()&gt;J318,"Red",IF(M318&gt;=0.6,"Yellow","Green"))))</x:f>
        <x:v>Green</x:v>
      </x:c>
      <x:c r="U318" s="28" t="str"/>
    </x:row>
    <x:row r="319">
      <x:c r="A319" s="28" t="str">
        <x:v>SV-08-0317</x:v>
      </x:c>
      <x:c r="B319" s="28" t="str">
        <x:v>Sprint 8</x:v>
      </x:c>
      <x:c r="C319" s="28" t="str">
        <x:v>Month 5</x:v>
      </x:c>
      <x:c r="D319" s="28" t="str">
        <x:v>Backend Engineer</x:v>
      </x:c>
      <x:c r="E319" s="28" t="str">
        <x:v>Mapping</x:v>
      </x:c>
      <x:c r="F319" s="28" t="str">
        <x:v>Implement workload mapping API</x:v>
      </x:c>
      <x:c r="G319" s="28" t="str">
        <x:v>Mapping API</x:v>
      </x:c>
      <x:c r="H319" s="28" t="str">
        <x:v>High</x:v>
      </x:c>
      <x:c r="I319" s="42" t="n">
        <x:f>INDEX('Sprint Plan'!$D$9:$D$20,MATCH(B319,'Sprint Plan'!$A$9:$A$20,0))</x:f>
        <x:v>46316</x:v>
      </x:c>
      <x:c r="J319" s="42" t="n">
        <x:f>INDEX('Sprint Plan'!$E$9:$E$20,MATCH(B319,'Sprint Plan'!$A$9:$A$20,0))</x:f>
        <x:v>46329</x:v>
      </x:c>
      <x:c r="K319" s="28" t="str">
        <x:v>TBD</x:v>
      </x:c>
      <x:c r="L319" s="28" t="str">
        <x:v>Not Started</x:v>
      </x:c>
      <x:c r="M319" s="43" t="n">
        <x:v>0</x:v>
      </x:c>
      <x:c r="N319" s="28" t="n">
        <x:v>1</x:v>
      </x:c>
      <x:c r="O319" s="28" t="str"/>
      <x:c r="P319" s="28" t="str"/>
      <x:c r="Q319" s="28" t="str"/>
      <x:c r="R319" s="28" t="str"/>
      <x:c r="S319" s="28" t="str">
        <x:v>Medium</x:v>
      </x:c>
      <x:c r="T319" s="28" t="str">
        <x:f>IF(L319="Done","Green",IF(L319="Blocked","Red",IF(TODAY()&gt;J319,"Red",IF(M319&gt;=0.6,"Yellow","Green"))))</x:f>
        <x:v>Green</x:v>
      </x:c>
      <x:c r="U319" s="28" t="str"/>
    </x:row>
    <x:row r="320">
      <x:c r="A320" s="28" t="str">
        <x:v>SV-08-0318</x:v>
      </x:c>
      <x:c r="B320" s="28" t="str">
        <x:v>Sprint 8</x:v>
      </x:c>
      <x:c r="C320" s="28" t="str">
        <x:v>Month 5</x:v>
      </x:c>
      <x:c r="D320" s="28" t="str">
        <x:v>Backend Engineer</x:v>
      </x:c>
      <x:c r="E320" s="28" t="str">
        <x:v>Checklist</x:v>
      </x:c>
      <x:c r="F320" s="28" t="str">
        <x:v>Implement checklist API</x:v>
      </x:c>
      <x:c r="G320" s="28" t="str">
        <x:v>Checklist API</x:v>
      </x:c>
      <x:c r="H320" s="28" t="str">
        <x:v>High</x:v>
      </x:c>
      <x:c r="I320" s="42" t="n">
        <x:f>INDEX('Sprint Plan'!$D$9:$D$20,MATCH(B320,'Sprint Plan'!$A$9:$A$20,0))</x:f>
        <x:v>46316</x:v>
      </x:c>
      <x:c r="J320" s="42" t="n">
        <x:f>INDEX('Sprint Plan'!$E$9:$E$20,MATCH(B320,'Sprint Plan'!$A$9:$A$20,0))</x:f>
        <x:v>46329</x:v>
      </x:c>
      <x:c r="K320" s="28" t="str">
        <x:v>TBD</x:v>
      </x:c>
      <x:c r="L320" s="28" t="str">
        <x:v>Not Started</x:v>
      </x:c>
      <x:c r="M320" s="43" t="n">
        <x:v>0</x:v>
      </x:c>
      <x:c r="N320" s="28" t="n">
        <x:v>1</x:v>
      </x:c>
      <x:c r="O320" s="28" t="str"/>
      <x:c r="P320" s="28" t="str"/>
      <x:c r="Q320" s="28" t="str"/>
      <x:c r="R320" s="28" t="str"/>
      <x:c r="S320" s="28" t="str">
        <x:v>Medium</x:v>
      </x:c>
      <x:c r="T320" s="28" t="str">
        <x:f>IF(L320="Done","Green",IF(L320="Blocked","Red",IF(TODAY()&gt;J320,"Red",IF(M320&gt;=0.6,"Yellow","Green"))))</x:f>
        <x:v>Green</x:v>
      </x:c>
      <x:c r="U320" s="28" t="str"/>
    </x:row>
    <x:row r="321">
      <x:c r="A321" s="28" t="str">
        <x:v>SV-08-0319</x:v>
      </x:c>
      <x:c r="B321" s="28" t="str">
        <x:v>Sprint 8</x:v>
      </x:c>
      <x:c r="C321" s="28" t="str">
        <x:v>Month 5</x:v>
      </x:c>
      <x:c r="D321" s="28" t="str">
        <x:v>Backend Engineer</x:v>
      </x:c>
      <x:c r="E321" s="28" t="str">
        <x:v>Report</x:v>
      </x:c>
      <x:c r="F321" s="28" t="str">
        <x:v>Implement migration status/report/imported VM metadata</x:v>
      </x:c>
      <x:c r="G321" s="28" t="str">
        <x:v>Migration report/API</x:v>
      </x:c>
      <x:c r="H321" s="28" t="str">
        <x:v>High</x:v>
      </x:c>
      <x:c r="I321" s="42" t="n">
        <x:f>INDEX('Sprint Plan'!$D$9:$D$20,MATCH(B321,'Sprint Plan'!$A$9:$A$20,0))</x:f>
        <x:v>46316</x:v>
      </x:c>
      <x:c r="J321" s="42" t="n">
        <x:f>INDEX('Sprint Plan'!$E$9:$E$20,MATCH(B321,'Sprint Plan'!$A$9:$A$20,0))</x:f>
        <x:v>46329</x:v>
      </x:c>
      <x:c r="K321" s="28" t="str">
        <x:v>TBD</x:v>
      </x:c>
      <x:c r="L321" s="28" t="str">
        <x:v>Not Started</x:v>
      </x:c>
      <x:c r="M321" s="43" t="n">
        <x:v>0</x:v>
      </x:c>
      <x:c r="N321" s="28" t="n">
        <x:v>1</x:v>
      </x:c>
      <x:c r="O321" s="28" t="str"/>
      <x:c r="P321" s="28" t="str"/>
      <x:c r="Q321" s="28" t="str"/>
      <x:c r="R321" s="28" t="str"/>
      <x:c r="S321" s="28" t="str">
        <x:v>Medium</x:v>
      </x:c>
      <x:c r="T321" s="28" t="str">
        <x:f>IF(L321="Done","Green",IF(L321="Blocked","Red",IF(TODAY()&gt;J321,"Red",IF(M321&gt;=0.6,"Yellow","Green"))))</x:f>
        <x:v>Green</x:v>
      </x:c>
      <x:c r="U321" s="28" t="str"/>
    </x:row>
    <x:row r="322">
      <x:c r="A322" s="28" t="str">
        <x:v>SV-08-0320</x:v>
      </x:c>
      <x:c r="B322" s="28" t="str">
        <x:v>Sprint 8</x:v>
      </x:c>
      <x:c r="C322" s="28" t="str">
        <x:v>Month 5</x:v>
      </x:c>
      <x:c r="D322" s="28" t="str">
        <x:v>Frontend Engineer</x:v>
      </x:c>
      <x:c r="E322" s="28" t="str">
        <x:v>Project UI</x:v>
      </x:c>
      <x:c r="F322" s="28" t="str">
        <x:v>Build migration project page</x:v>
      </x:c>
      <x:c r="G322" s="28" t="str">
        <x:v>Project UI</x:v>
      </x:c>
      <x:c r="H322" s="28" t="str">
        <x:v>High</x:v>
      </x:c>
      <x:c r="I322" s="42" t="n">
        <x:f>INDEX('Sprint Plan'!$D$9:$D$20,MATCH(B322,'Sprint Plan'!$A$9:$A$20,0))</x:f>
        <x:v>46316</x:v>
      </x:c>
      <x:c r="J322" s="42" t="n">
        <x:f>INDEX('Sprint Plan'!$E$9:$E$20,MATCH(B322,'Sprint Plan'!$A$9:$A$20,0))</x:f>
        <x:v>46329</x:v>
      </x:c>
      <x:c r="K322" s="28" t="str">
        <x:v>TBD</x:v>
      </x:c>
      <x:c r="L322" s="28" t="str">
        <x:v>Not Started</x:v>
      </x:c>
      <x:c r="M322" s="43" t="n">
        <x:v>0</x:v>
      </x:c>
      <x:c r="N322" s="28" t="n">
        <x:v>1</x:v>
      </x:c>
      <x:c r="O322" s="28" t="str"/>
      <x:c r="P322" s="28" t="str"/>
      <x:c r="Q322" s="28" t="str"/>
      <x:c r="R322" s="28" t="str"/>
      <x:c r="S322" s="28" t="str">
        <x:v>Medium</x:v>
      </x:c>
      <x:c r="T322" s="28" t="str">
        <x:f>IF(L322="Done","Green",IF(L322="Blocked","Red",IF(TODAY()&gt;J322,"Red",IF(M322&gt;=0.6,"Yellow","Green"))))</x:f>
        <x:v>Green</x:v>
      </x:c>
      <x:c r="U322" s="28" t="str"/>
    </x:row>
    <x:row r="323">
      <x:c r="A323" s="28" t="str">
        <x:v>SV-08-0321</x:v>
      </x:c>
      <x:c r="B323" s="28" t="str">
        <x:v>Sprint 8</x:v>
      </x:c>
      <x:c r="C323" s="28" t="str">
        <x:v>Month 5</x:v>
      </x:c>
      <x:c r="D323" s="28" t="str">
        <x:v>Frontend Engineer</x:v>
      </x:c>
      <x:c r="E323" s="28" t="str">
        <x:v>Inventory UI</x:v>
      </x:c>
      <x:c r="F323" s="28" t="str">
        <x:v>Build source inventory form</x:v>
      </x:c>
      <x:c r="G323" s="28" t="str">
        <x:v>Inventory UI</x:v>
      </x:c>
      <x:c r="H323" s="28" t="str">
        <x:v>High</x:v>
      </x:c>
      <x:c r="I323" s="42" t="n">
        <x:f>INDEX('Sprint Plan'!$D$9:$D$20,MATCH(B323,'Sprint Plan'!$A$9:$A$20,0))</x:f>
        <x:v>46316</x:v>
      </x:c>
      <x:c r="J323" s="42" t="n">
        <x:f>INDEX('Sprint Plan'!$E$9:$E$20,MATCH(B323,'Sprint Plan'!$A$9:$A$20,0))</x:f>
        <x:v>46329</x:v>
      </x:c>
      <x:c r="K323" s="28" t="str">
        <x:v>TBD</x:v>
      </x:c>
      <x:c r="L323" s="28" t="str">
        <x:v>Not Started</x:v>
      </x:c>
      <x:c r="M323" s="43" t="n">
        <x:v>0</x:v>
      </x:c>
      <x:c r="N323" s="28" t="n">
        <x:v>1</x:v>
      </x:c>
      <x:c r="O323" s="28" t="str"/>
      <x:c r="P323" s="28" t="str"/>
      <x:c r="Q323" s="28" t="str"/>
      <x:c r="R323" s="28" t="str"/>
      <x:c r="S323" s="28" t="str">
        <x:v>Medium</x:v>
      </x:c>
      <x:c r="T323" s="28" t="str">
        <x:f>IF(L323="Done","Green",IF(L323="Blocked","Red",IF(TODAY()&gt;J323,"Red",IF(M323&gt;=0.6,"Yellow","Green"))))</x:f>
        <x:v>Green</x:v>
      </x:c>
      <x:c r="U323" s="28" t="str"/>
    </x:row>
    <x:row r="324">
      <x:c r="A324" s="28" t="str">
        <x:v>SV-08-0322</x:v>
      </x:c>
      <x:c r="B324" s="28" t="str">
        <x:v>Sprint 8</x:v>
      </x:c>
      <x:c r="C324" s="28" t="str">
        <x:v>Month 5</x:v>
      </x:c>
      <x:c r="D324" s="28" t="str">
        <x:v>Frontend Engineer</x:v>
      </x:c>
      <x:c r="E324" s="28" t="str">
        <x:v>Mapping UI</x:v>
      </x:c>
      <x:c r="F324" s="28" t="str">
        <x:v>Build workload mapping page</x:v>
      </x:c>
      <x:c r="G324" s="28" t="str">
        <x:v>Mapping UI</x:v>
      </x:c>
      <x:c r="H324" s="28" t="str">
        <x:v>High</x:v>
      </x:c>
      <x:c r="I324" s="42" t="n">
        <x:f>INDEX('Sprint Plan'!$D$9:$D$20,MATCH(B324,'Sprint Plan'!$A$9:$A$20,0))</x:f>
        <x:v>46316</x:v>
      </x:c>
      <x:c r="J324" s="42" t="n">
        <x:f>INDEX('Sprint Plan'!$E$9:$E$20,MATCH(B324,'Sprint Plan'!$A$9:$A$20,0))</x:f>
        <x:v>46329</x:v>
      </x:c>
      <x:c r="K324" s="28" t="str">
        <x:v>TBD</x:v>
      </x:c>
      <x:c r="L324" s="28" t="str">
        <x:v>Not Started</x:v>
      </x:c>
      <x:c r="M324" s="43" t="n">
        <x:v>0</x:v>
      </x:c>
      <x:c r="N324" s="28" t="n">
        <x:v>1</x:v>
      </x:c>
      <x:c r="O324" s="28" t="str"/>
      <x:c r="P324" s="28" t="str"/>
      <x:c r="Q324" s="28" t="str"/>
      <x:c r="R324" s="28" t="str"/>
      <x:c r="S324" s="28" t="str">
        <x:v>Medium</x:v>
      </x:c>
      <x:c r="T324" s="28" t="str">
        <x:f>IF(L324="Done","Green",IF(L324="Blocked","Red",IF(TODAY()&gt;J324,"Red",IF(M324&gt;=0.6,"Yellow","Green"))))</x:f>
        <x:v>Green</x:v>
      </x:c>
      <x:c r="U324" s="28" t="str"/>
    </x:row>
    <x:row r="325">
      <x:c r="A325" s="28" t="str">
        <x:v>SV-08-0323</x:v>
      </x:c>
      <x:c r="B325" s="28" t="str">
        <x:v>Sprint 8</x:v>
      </x:c>
      <x:c r="C325" s="28" t="str">
        <x:v>Month 5</x:v>
      </x:c>
      <x:c r="D325" s="28" t="str">
        <x:v>Frontend Engineer</x:v>
      </x:c>
      <x:c r="E325" s="28" t="str">
        <x:v>Checklist UI</x:v>
      </x:c>
      <x:c r="F325" s="28" t="str">
        <x:v>Build checklist page</x:v>
      </x:c>
      <x:c r="G325" s="28" t="str">
        <x:v>Checklist UI</x:v>
      </x:c>
      <x:c r="H325" s="28" t="str">
        <x:v>High</x:v>
      </x:c>
      <x:c r="I325" s="42" t="n">
        <x:f>INDEX('Sprint Plan'!$D$9:$D$20,MATCH(B325,'Sprint Plan'!$A$9:$A$20,0))</x:f>
        <x:v>46316</x:v>
      </x:c>
      <x:c r="J325" s="42" t="n">
        <x:f>INDEX('Sprint Plan'!$E$9:$E$20,MATCH(B325,'Sprint Plan'!$A$9:$A$20,0))</x:f>
        <x:v>46329</x:v>
      </x:c>
      <x:c r="K325" s="28" t="str">
        <x:v>TBD</x:v>
      </x:c>
      <x:c r="L325" s="28" t="str">
        <x:v>Not Started</x:v>
      </x:c>
      <x:c r="M325" s="43" t="n">
        <x:v>0</x:v>
      </x:c>
      <x:c r="N325" s="28" t="n">
        <x:v>1</x:v>
      </x:c>
      <x:c r="O325" s="28" t="str"/>
      <x:c r="P325" s="28" t="str"/>
      <x:c r="Q325" s="28" t="str"/>
      <x:c r="R325" s="28" t="str"/>
      <x:c r="S325" s="28" t="str">
        <x:v>Medium</x:v>
      </x:c>
      <x:c r="T325" s="28" t="str">
        <x:f>IF(L325="Done","Green",IF(L325="Blocked","Red",IF(TODAY()&gt;J325,"Red",IF(M325&gt;=0.6,"Yellow","Green"))))</x:f>
        <x:v>Green</x:v>
      </x:c>
      <x:c r="U325" s="28" t="str"/>
    </x:row>
    <x:row r="326">
      <x:c r="A326" s="28" t="str">
        <x:v>SV-08-0324</x:v>
      </x:c>
      <x:c r="B326" s="28" t="str">
        <x:v>Sprint 8</x:v>
      </x:c>
      <x:c r="C326" s="28" t="str">
        <x:v>Month 5</x:v>
      </x:c>
      <x:c r="D326" s="28" t="str">
        <x:v>Frontend Engineer</x:v>
      </x:c>
      <x:c r="E326" s="28" t="str">
        <x:v>Status UI</x:v>
      </x:c>
      <x:c r="F326" s="28" t="str">
        <x:v>Build migration status board and report preview</x:v>
      </x:c>
      <x:c r="G326" s="28" t="str">
        <x:v>Status/report UI</x:v>
      </x:c>
      <x:c r="H326" s="28" t="str">
        <x:v>High</x:v>
      </x:c>
      <x:c r="I326" s="42" t="n">
        <x:f>INDEX('Sprint Plan'!$D$9:$D$20,MATCH(B326,'Sprint Plan'!$A$9:$A$20,0))</x:f>
        <x:v>46316</x:v>
      </x:c>
      <x:c r="J326" s="42" t="n">
        <x:f>INDEX('Sprint Plan'!$E$9:$E$20,MATCH(B326,'Sprint Plan'!$A$9:$A$20,0))</x:f>
        <x:v>46329</x:v>
      </x:c>
      <x:c r="K326" s="28" t="str">
        <x:v>TBD</x:v>
      </x:c>
      <x:c r="L326" s="28" t="str">
        <x:v>Not Started</x:v>
      </x:c>
      <x:c r="M326" s="43" t="n">
        <x:v>0</x:v>
      </x:c>
      <x:c r="N326" s="28" t="n">
        <x:v>1</x:v>
      </x:c>
      <x:c r="O326" s="28" t="str"/>
      <x:c r="P326" s="28" t="str"/>
      <x:c r="Q326" s="28" t="str"/>
      <x:c r="R326" s="28" t="str"/>
      <x:c r="S326" s="28" t="str">
        <x:v>Medium</x:v>
      </x:c>
      <x:c r="T326" s="28" t="str">
        <x:f>IF(L326="Done","Green",IF(L326="Blocked","Red",IF(TODAY()&gt;J326,"Red",IF(M326&gt;=0.6,"Yellow","Green"))))</x:f>
        <x:v>Green</x:v>
      </x:c>
      <x:c r="U326" s="28" t="str"/>
    </x:row>
    <x:row r="327">
      <x:c r="A327" s="28" t="str">
        <x:v>SV-08-0325</x:v>
      </x:c>
      <x:c r="B327" s="28" t="str">
        <x:v>Sprint 8</x:v>
      </x:c>
      <x:c r="C327" s="28" t="str">
        <x:v>Month 5</x:v>
      </x:c>
      <x:c r="D327" s="28" t="str">
        <x:v>QA/Tester</x:v>
      </x:c>
      <x:c r="E327" s="28" t="str">
        <x:v>Project</x:v>
      </x:c>
      <x:c r="F327" s="28" t="str">
        <x:v>Test migration project create</x:v>
      </x:c>
      <x:c r="G327" s="28" t="str">
        <x:v>Project test</x:v>
      </x:c>
      <x:c r="H327" s="28" t="str">
        <x:v>High</x:v>
      </x:c>
      <x:c r="I327" s="42" t="n">
        <x:f>INDEX('Sprint Plan'!$D$9:$D$20,MATCH(B327,'Sprint Plan'!$A$9:$A$20,0))</x:f>
        <x:v>46316</x:v>
      </x:c>
      <x:c r="J327" s="42" t="n">
        <x:f>INDEX('Sprint Plan'!$E$9:$E$20,MATCH(B327,'Sprint Plan'!$A$9:$A$20,0))</x:f>
        <x:v>46329</x:v>
      </x:c>
      <x:c r="K327" s="28" t="str">
        <x:v>TBD</x:v>
      </x:c>
      <x:c r="L327" s="28" t="str">
        <x:v>Not Started</x:v>
      </x:c>
      <x:c r="M327" s="43" t="n">
        <x:v>0</x:v>
      </x:c>
      <x:c r="N327" s="28" t="n">
        <x:v>1</x:v>
      </x:c>
      <x:c r="O327" s="28" t="str"/>
      <x:c r="P327" s="28" t="str"/>
      <x:c r="Q327" s="28" t="str"/>
      <x:c r="R327" s="28" t="str"/>
      <x:c r="S327" s="28" t="str">
        <x:v>Medium</x:v>
      </x:c>
      <x:c r="T327" s="28" t="str">
        <x:f>IF(L327="Done","Green",IF(L327="Blocked","Red",IF(TODAY()&gt;J327,"Red",IF(M327&gt;=0.6,"Yellow","Green"))))</x:f>
        <x:v>Green</x:v>
      </x:c>
      <x:c r="U327" s="28" t="str"/>
    </x:row>
    <x:row r="328">
      <x:c r="A328" s="28" t="str">
        <x:v>SV-08-0326</x:v>
      </x:c>
      <x:c r="B328" s="28" t="str">
        <x:v>Sprint 8</x:v>
      </x:c>
      <x:c r="C328" s="28" t="str">
        <x:v>Month 5</x:v>
      </x:c>
      <x:c r="D328" s="28" t="str">
        <x:v>QA/Tester</x:v>
      </x:c>
      <x:c r="E328" s="28" t="str">
        <x:v>Inventory</x:v>
      </x:c>
      <x:c r="F328" s="28" t="str">
        <x:v>Test source inventory</x:v>
      </x:c>
      <x:c r="G328" s="28" t="str">
        <x:v>Inventory test</x:v>
      </x:c>
      <x:c r="H328" s="28" t="str">
        <x:v>High</x:v>
      </x:c>
      <x:c r="I328" s="42" t="n">
        <x:f>INDEX('Sprint Plan'!$D$9:$D$20,MATCH(B328,'Sprint Plan'!$A$9:$A$20,0))</x:f>
        <x:v>46316</x:v>
      </x:c>
      <x:c r="J328" s="42" t="n">
        <x:f>INDEX('Sprint Plan'!$E$9:$E$20,MATCH(B328,'Sprint Plan'!$A$9:$A$20,0))</x:f>
        <x:v>46329</x:v>
      </x:c>
      <x:c r="K328" s="28" t="str">
        <x:v>TBD</x:v>
      </x:c>
      <x:c r="L328" s="28" t="str">
        <x:v>Not Started</x:v>
      </x:c>
      <x:c r="M328" s="43" t="n">
        <x:v>0</x:v>
      </x:c>
      <x:c r="N328" s="28" t="n">
        <x:v>1</x:v>
      </x:c>
      <x:c r="O328" s="28" t="str"/>
      <x:c r="P328" s="28" t="str"/>
      <x:c r="Q328" s="28" t="str"/>
      <x:c r="R328" s="28" t="str"/>
      <x:c r="S328" s="28" t="str">
        <x:v>Medium</x:v>
      </x:c>
      <x:c r="T328" s="28" t="str">
        <x:f>IF(L328="Done","Green",IF(L328="Blocked","Red",IF(TODAY()&gt;J328,"Red",IF(M328&gt;=0.6,"Yellow","Green"))))</x:f>
        <x:v>Green</x:v>
      </x:c>
      <x:c r="U328" s="28" t="str"/>
    </x:row>
    <x:row r="329">
      <x:c r="A329" s="28" t="str">
        <x:v>SV-08-0327</x:v>
      </x:c>
      <x:c r="B329" s="28" t="str">
        <x:v>Sprint 8</x:v>
      </x:c>
      <x:c r="C329" s="28" t="str">
        <x:v>Month 5</x:v>
      </x:c>
      <x:c r="D329" s="28" t="str">
        <x:v>QA/Tester</x:v>
      </x:c>
      <x:c r="E329" s="28" t="str">
        <x:v>Checklist</x:v>
      </x:c>
      <x:c r="F329" s="28" t="str">
        <x:v>Test checklist</x:v>
      </x:c>
      <x:c r="G329" s="28" t="str">
        <x:v>Checklist test</x:v>
      </x:c>
      <x:c r="H329" s="28" t="str">
        <x:v>High</x:v>
      </x:c>
      <x:c r="I329" s="42" t="n">
        <x:f>INDEX('Sprint Plan'!$D$9:$D$20,MATCH(B329,'Sprint Plan'!$A$9:$A$20,0))</x:f>
        <x:v>46316</x:v>
      </x:c>
      <x:c r="J329" s="42" t="n">
        <x:f>INDEX('Sprint Plan'!$E$9:$E$20,MATCH(B329,'Sprint Plan'!$A$9:$A$20,0))</x:f>
        <x:v>46329</x:v>
      </x:c>
      <x:c r="K329" s="28" t="str">
        <x:v>TBD</x:v>
      </x:c>
      <x:c r="L329" s="28" t="str">
        <x:v>Not Started</x:v>
      </x:c>
      <x:c r="M329" s="43" t="n">
        <x:v>0</x:v>
      </x:c>
      <x:c r="N329" s="28" t="n">
        <x:v>1</x:v>
      </x:c>
      <x:c r="O329" s="28" t="str"/>
      <x:c r="P329" s="28" t="str"/>
      <x:c r="Q329" s="28" t="str"/>
      <x:c r="R329" s="28" t="str"/>
      <x:c r="S329" s="28" t="str">
        <x:v>Medium</x:v>
      </x:c>
      <x:c r="T329" s="28" t="str">
        <x:f>IF(L329="Done","Green",IF(L329="Blocked","Red",IF(TODAY()&gt;J329,"Red",IF(M329&gt;=0.6,"Yellow","Green"))))</x:f>
        <x:v>Green</x:v>
      </x:c>
      <x:c r="U329" s="28" t="str"/>
    </x:row>
    <x:row r="330">
      <x:c r="A330" s="28" t="str">
        <x:v>SV-08-0328</x:v>
      </x:c>
      <x:c r="B330" s="28" t="str">
        <x:v>Sprint 8</x:v>
      </x:c>
      <x:c r="C330" s="28" t="str">
        <x:v>Month 5</x:v>
      </x:c>
      <x:c r="D330" s="28" t="str">
        <x:v>QA/Tester</x:v>
      </x:c>
      <x:c r="E330" s="28" t="str">
        <x:v>Import</x:v>
      </x:c>
      <x:c r="F330" s="28" t="str">
        <x:v>Test import workflow</x:v>
      </x:c>
      <x:c r="G330" s="28" t="str">
        <x:v>Import test</x:v>
      </x:c>
      <x:c r="H330" s="28" t="str">
        <x:v>High</x:v>
      </x:c>
      <x:c r="I330" s="42" t="n">
        <x:f>INDEX('Sprint Plan'!$D$9:$D$20,MATCH(B330,'Sprint Plan'!$A$9:$A$20,0))</x:f>
        <x:v>46316</x:v>
      </x:c>
      <x:c r="J330" s="42" t="n">
        <x:f>INDEX('Sprint Plan'!$E$9:$E$20,MATCH(B330,'Sprint Plan'!$A$9:$A$20,0))</x:f>
        <x:v>46329</x:v>
      </x:c>
      <x:c r="K330" s="28" t="str">
        <x:v>TBD</x:v>
      </x:c>
      <x:c r="L330" s="28" t="str">
        <x:v>Not Started</x:v>
      </x:c>
      <x:c r="M330" s="43" t="n">
        <x:v>0</x:v>
      </x:c>
      <x:c r="N330" s="28" t="n">
        <x:v>1</x:v>
      </x:c>
      <x:c r="O330" s="28" t="str"/>
      <x:c r="P330" s="28" t="str"/>
      <x:c r="Q330" s="28" t="str"/>
      <x:c r="R330" s="28" t="str"/>
      <x:c r="S330" s="28" t="str">
        <x:v>Medium</x:v>
      </x:c>
      <x:c r="T330" s="28" t="str">
        <x:f>IF(L330="Done","Green",IF(L330="Blocked","Red",IF(TODAY()&gt;J330,"Red",IF(M330&gt;=0.6,"Yellow","Green"))))</x:f>
        <x:v>Green</x:v>
      </x:c>
      <x:c r="U330" s="28" t="str"/>
    </x:row>
    <x:row r="331">
      <x:c r="A331" s="28" t="str">
        <x:v>SV-08-0329</x:v>
      </x:c>
      <x:c r="B331" s="28" t="str">
        <x:v>Sprint 8</x:v>
      </x:c>
      <x:c r="C331" s="28" t="str">
        <x:v>Month 5</x:v>
      </x:c>
      <x:c r="D331" s="28" t="str">
        <x:v>QA/Tester</x:v>
      </x:c>
      <x:c r="E331" s="28" t="str">
        <x:v>Report</x:v>
      </x:c>
      <x:c r="F331" s="28" t="str">
        <x:v>Test migration report and negative scenario</x:v>
      </x:c>
      <x:c r="G331" s="28" t="str">
        <x:v>Report/negative test</x:v>
      </x:c>
      <x:c r="H331" s="28" t="str">
        <x:v>High</x:v>
      </x:c>
      <x:c r="I331" s="42" t="n">
        <x:f>INDEX('Sprint Plan'!$D$9:$D$20,MATCH(B331,'Sprint Plan'!$A$9:$A$20,0))</x:f>
        <x:v>46316</x:v>
      </x:c>
      <x:c r="J331" s="42" t="n">
        <x:f>INDEX('Sprint Plan'!$E$9:$E$20,MATCH(B331,'Sprint Plan'!$A$9:$A$20,0))</x:f>
        <x:v>46329</x:v>
      </x:c>
      <x:c r="K331" s="28" t="str">
        <x:v>TBD</x:v>
      </x:c>
      <x:c r="L331" s="28" t="str">
        <x:v>Not Started</x:v>
      </x:c>
      <x:c r="M331" s="43" t="n">
        <x:v>0</x:v>
      </x:c>
      <x:c r="N331" s="28" t="n">
        <x:v>1</x:v>
      </x:c>
      <x:c r="O331" s="28" t="str"/>
      <x:c r="P331" s="28" t="str"/>
      <x:c r="Q331" s="28" t="str"/>
      <x:c r="R331" s="28" t="str"/>
      <x:c r="S331" s="28" t="str">
        <x:v>Medium</x:v>
      </x:c>
      <x:c r="T331" s="28" t="str">
        <x:f>IF(L331="Done","Green",IF(L331="Blocked","Red",IF(TODAY()&gt;J331,"Red",IF(M331&gt;=0.6,"Yellow","Green"))))</x:f>
        <x:v>Green</x:v>
      </x:c>
      <x:c r="U331" s="28" t="str"/>
    </x:row>
    <x:row r="332">
      <x:c r="A332" s="28" t="str">
        <x:v>SV-08-0330</x:v>
      </x:c>
      <x:c r="B332" s="28" t="str">
        <x:v>Sprint 8</x:v>
      </x:c>
      <x:c r="C332" s="28" t="str">
        <x:v>Month 5</x:v>
      </x:c>
      <x:c r="D332" s="28" t="str">
        <x:v>Technical Writer</x:v>
      </x:c>
      <x:c r="E332" s="28" t="str">
        <x:v>SOP</x:v>
      </x:c>
      <x:c r="F332" s="28" t="str">
        <x:v>SOP migration</x:v>
      </x:c>
      <x:c r="G332" s="28" t="str">
        <x:v>Migration SOP</x:v>
      </x:c>
      <x:c r="H332" s="28" t="str">
        <x:v>High</x:v>
      </x:c>
      <x:c r="I332" s="42" t="n">
        <x:f>INDEX('Sprint Plan'!$D$9:$D$20,MATCH(B332,'Sprint Plan'!$A$9:$A$20,0))</x:f>
        <x:v>46316</x:v>
      </x:c>
      <x:c r="J332" s="42" t="n">
        <x:f>INDEX('Sprint Plan'!$E$9:$E$20,MATCH(B332,'Sprint Plan'!$A$9:$A$20,0))</x:f>
        <x:v>46329</x:v>
      </x:c>
      <x:c r="K332" s="28" t="str">
        <x:v>TBD</x:v>
      </x:c>
      <x:c r="L332" s="28" t="str">
        <x:v>Not Started</x:v>
      </x:c>
      <x:c r="M332" s="43" t="n">
        <x:v>0</x:v>
      </x:c>
      <x:c r="N332" s="28" t="n">
        <x:v>1</x:v>
      </x:c>
      <x:c r="O332" s="28" t="str"/>
      <x:c r="P332" s="28" t="str"/>
      <x:c r="Q332" s="28" t="str"/>
      <x:c r="R332" s="28" t="str"/>
      <x:c r="S332" s="28" t="str">
        <x:v>Medium</x:v>
      </x:c>
      <x:c r="T332" s="28" t="str">
        <x:f>IF(L332="Done","Green",IF(L332="Blocked","Red",IF(TODAY()&gt;J332,"Red",IF(M332&gt;=0.6,"Yellow","Green"))))</x:f>
        <x:v>Green</x:v>
      </x:c>
      <x:c r="U332" s="28" t="str"/>
    </x:row>
    <x:row r="333">
      <x:c r="A333" s="28" t="str">
        <x:v>SV-08-0331</x:v>
      </x:c>
      <x:c r="B333" s="28" t="str">
        <x:v>Sprint 8</x:v>
      </x:c>
      <x:c r="C333" s="28" t="str">
        <x:v>Month 5</x:v>
      </x:c>
      <x:c r="D333" s="28" t="str">
        <x:v>Technical Writer</x:v>
      </x:c>
      <x:c r="E333" s="28" t="str">
        <x:v>UAT</x:v>
      </x:c>
      <x:c r="F333" s="28" t="str">
        <x:v>UAT migration script</x:v>
      </x:c>
      <x:c r="G333" s="28" t="str">
        <x:v>UAT script</x:v>
      </x:c>
      <x:c r="H333" s="28" t="str">
        <x:v>High</x:v>
      </x:c>
      <x:c r="I333" s="42" t="n">
        <x:f>INDEX('Sprint Plan'!$D$9:$D$20,MATCH(B333,'Sprint Plan'!$A$9:$A$20,0))</x:f>
        <x:v>46316</x:v>
      </x:c>
      <x:c r="J333" s="42" t="n">
        <x:f>INDEX('Sprint Plan'!$E$9:$E$20,MATCH(B333,'Sprint Plan'!$A$9:$A$20,0))</x:f>
        <x:v>46329</x:v>
      </x:c>
      <x:c r="K333" s="28" t="str">
        <x:v>TBD</x:v>
      </x:c>
      <x:c r="L333" s="28" t="str">
        <x:v>Not Started</x:v>
      </x:c>
      <x:c r="M333" s="43" t="n">
        <x:v>0</x:v>
      </x:c>
      <x:c r="N333" s="28" t="n">
        <x:v>1</x:v>
      </x:c>
      <x:c r="O333" s="28" t="str"/>
      <x:c r="P333" s="28" t="str"/>
      <x:c r="Q333" s="28" t="str"/>
      <x:c r="R333" s="28" t="str"/>
      <x:c r="S333" s="28" t="str">
        <x:v>Medium</x:v>
      </x:c>
      <x:c r="T333" s="28" t="str">
        <x:f>IF(L333="Done","Green",IF(L333="Blocked","Red",IF(TODAY()&gt;J333,"Red",IF(M333&gt;=0.6,"Yellow","Green"))))</x:f>
        <x:v>Green</x:v>
      </x:c>
      <x:c r="U333" s="28" t="str"/>
    </x:row>
    <x:row r="334">
      <x:c r="A334" s="28" t="str">
        <x:v>SV-08-0332</x:v>
      </x:c>
      <x:c r="B334" s="28" t="str">
        <x:v>Sprint 8</x:v>
      </x:c>
      <x:c r="C334" s="28" t="str">
        <x:v>Month 5</x:v>
      </x:c>
      <x:c r="D334" s="28" t="str">
        <x:v>Technical Writer</x:v>
      </x:c>
      <x:c r="E334" s="28" t="str">
        <x:v>Cutover</x:v>
      </x:c>
      <x:c r="F334" s="28" t="str">
        <x:v>Cutover checklist</x:v>
      </x:c>
      <x:c r="G334" s="28" t="str">
        <x:v>Cutover docs</x:v>
      </x:c>
      <x:c r="H334" s="28" t="str">
        <x:v>High</x:v>
      </x:c>
      <x:c r="I334" s="42" t="n">
        <x:f>INDEX('Sprint Plan'!$D$9:$D$20,MATCH(B334,'Sprint Plan'!$A$9:$A$20,0))</x:f>
        <x:v>46316</x:v>
      </x:c>
      <x:c r="J334" s="42" t="n">
        <x:f>INDEX('Sprint Plan'!$E$9:$E$20,MATCH(B334,'Sprint Plan'!$A$9:$A$20,0))</x:f>
        <x:v>46329</x:v>
      </x:c>
      <x:c r="K334" s="28" t="str">
        <x:v>TBD</x:v>
      </x:c>
      <x:c r="L334" s="28" t="str">
        <x:v>Not Started</x:v>
      </x:c>
      <x:c r="M334" s="43" t="n">
        <x:v>0</x:v>
      </x:c>
      <x:c r="N334" s="28" t="n">
        <x:v>1</x:v>
      </x:c>
      <x:c r="O334" s="28" t="str"/>
      <x:c r="P334" s="28" t="str"/>
      <x:c r="Q334" s="28" t="str"/>
      <x:c r="R334" s="28" t="str"/>
      <x:c r="S334" s="28" t="str">
        <x:v>Medium</x:v>
      </x:c>
      <x:c r="T334" s="28" t="str">
        <x:f>IF(L334="Done","Green",IF(L334="Blocked","Red",IF(TODAY()&gt;J334,"Red",IF(M334&gt;=0.6,"Yellow","Green"))))</x:f>
        <x:v>Green</x:v>
      </x:c>
      <x:c r="U334" s="28" t="str"/>
    </x:row>
    <x:row r="335">
      <x:c r="A335" s="28" t="str">
        <x:v>SV-08-0333</x:v>
      </x:c>
      <x:c r="B335" s="28" t="str">
        <x:v>Sprint 8</x:v>
      </x:c>
      <x:c r="C335" s="28" t="str">
        <x:v>Month 5</x:v>
      </x:c>
      <x:c r="D335" s="28" t="str">
        <x:v>Technical Writer</x:v>
      </x:c>
      <x:c r="E335" s="28" t="str">
        <x:v>Rollback</x:v>
      </x:c>
      <x:c r="F335" s="28" t="str">
        <x:v>Rollback checklist</x:v>
      </x:c>
      <x:c r="G335" s="28" t="str">
        <x:v>Rollback docs</x:v>
      </x:c>
      <x:c r="H335" s="28" t="str">
        <x:v>High</x:v>
      </x:c>
      <x:c r="I335" s="42" t="n">
        <x:f>INDEX('Sprint Plan'!$D$9:$D$20,MATCH(B335,'Sprint Plan'!$A$9:$A$20,0))</x:f>
        <x:v>46316</x:v>
      </x:c>
      <x:c r="J335" s="42" t="n">
        <x:f>INDEX('Sprint Plan'!$E$9:$E$20,MATCH(B335,'Sprint Plan'!$A$9:$A$20,0))</x:f>
        <x:v>46329</x:v>
      </x:c>
      <x:c r="K335" s="28" t="str">
        <x:v>TBD</x:v>
      </x:c>
      <x:c r="L335" s="28" t="str">
        <x:v>Not Started</x:v>
      </x:c>
      <x:c r="M335" s="43" t="n">
        <x:v>0</x:v>
      </x:c>
      <x:c r="N335" s="28" t="n">
        <x:v>1</x:v>
      </x:c>
      <x:c r="O335" s="28" t="str"/>
      <x:c r="P335" s="28" t="str"/>
      <x:c r="Q335" s="28" t="str"/>
      <x:c r="R335" s="28" t="str"/>
      <x:c r="S335" s="28" t="str">
        <x:v>Medium</x:v>
      </x:c>
      <x:c r="T335" s="28" t="str">
        <x:f>IF(L335="Done","Green",IF(L335="Blocked","Red",IF(TODAY()&gt;J335,"Red",IF(M335&gt;=0.6,"Yellow","Green"))))</x:f>
        <x:v>Green</x:v>
      </x:c>
      <x:c r="U335" s="28" t="str"/>
    </x:row>
    <x:row r="336">
      <x:c r="A336" s="28" t="str">
        <x:v>SV-08-0334</x:v>
      </x:c>
      <x:c r="B336" s="28" t="str">
        <x:v>Sprint 8</x:v>
      </x:c>
      <x:c r="C336" s="28" t="str">
        <x:v>Month 5</x:v>
      </x:c>
      <x:c r="D336" s="28" t="str">
        <x:v>Technical Writer</x:v>
      </x:c>
      <x:c r="E336" s="28" t="str">
        <x:v>Report</x:v>
      </x:c>
      <x:c r="F336" s="28" t="str">
        <x:v>Migration report template</x:v>
      </x:c>
      <x:c r="G336" s="28" t="str">
        <x:v>Report template</x:v>
      </x:c>
      <x:c r="H336" s="28" t="str">
        <x:v>High</x:v>
      </x:c>
      <x:c r="I336" s="42" t="n">
        <x:f>INDEX('Sprint Plan'!$D$9:$D$20,MATCH(B336,'Sprint Plan'!$A$9:$A$20,0))</x:f>
        <x:v>46316</x:v>
      </x:c>
      <x:c r="J336" s="42" t="n">
        <x:f>INDEX('Sprint Plan'!$E$9:$E$20,MATCH(B336,'Sprint Plan'!$A$9:$A$20,0))</x:f>
        <x:v>46329</x:v>
      </x:c>
      <x:c r="K336" s="28" t="str">
        <x:v>TBD</x:v>
      </x:c>
      <x:c r="L336" s="28" t="str">
        <x:v>Not Started</x:v>
      </x:c>
      <x:c r="M336" s="43" t="n">
        <x:v>0</x:v>
      </x:c>
      <x:c r="N336" s="28" t="n">
        <x:v>1</x:v>
      </x:c>
      <x:c r="O336" s="28" t="str"/>
      <x:c r="P336" s="28" t="str"/>
      <x:c r="Q336" s="28" t="str"/>
      <x:c r="R336" s="28" t="str"/>
      <x:c r="S336" s="28" t="str">
        <x:v>Medium</x:v>
      </x:c>
      <x:c r="T336" s="28" t="str">
        <x:f>IF(L336="Done","Green",IF(L336="Blocked","Red",IF(TODAY()&gt;J336,"Red",IF(M336&gt;=0.6,"Yellow","Green"))))</x:f>
        <x:v>Green</x:v>
      </x:c>
      <x:c r="U336" s="28" t="str"/>
    </x:row>
    <x:row r="337">
      <x:c r="A337" s="28" t="str">
        <x:v>SV-08-0335</x:v>
      </x:c>
      <x:c r="B337" s="28" t="str">
        <x:v>Sprint 8</x:v>
      </x:c>
      <x:c r="C337" s="28" t="str">
        <x:v>Month 5</x:v>
      </x:c>
      <x:c r="D337" s="28" t="str">
        <x:v>Sales/Marketing/Presales</x:v>
      </x:c>
      <x:c r="E337" s="28" t="str">
        <x:v>VMware</x:v>
      </x:c>
      <x:c r="F337" s="28" t="str">
        <x:v>Buat program VMware Exit</x:v>
      </x:c>
      <x:c r="G337" s="28" t="str">
        <x:v>Campaign</x:v>
      </x:c>
      <x:c r="H337" s="28" t="str">
        <x:v>High</x:v>
      </x:c>
      <x:c r="I337" s="42" t="n">
        <x:f>INDEX('Sprint Plan'!$D$9:$D$20,MATCH(B337,'Sprint Plan'!$A$9:$A$20,0))</x:f>
        <x:v>46316</x:v>
      </x:c>
      <x:c r="J337" s="42" t="n">
        <x:f>INDEX('Sprint Plan'!$E$9:$E$20,MATCH(B337,'Sprint Plan'!$A$9:$A$20,0))</x:f>
        <x:v>46329</x:v>
      </x:c>
      <x:c r="K337" s="28" t="str">
        <x:v>TBD</x:v>
      </x:c>
      <x:c r="L337" s="28" t="str">
        <x:v>Not Started</x:v>
      </x:c>
      <x:c r="M337" s="43" t="n">
        <x:v>0</x:v>
      </x:c>
      <x:c r="N337" s="28" t="n">
        <x:v>1</x:v>
      </x:c>
      <x:c r="O337" s="28" t="str"/>
      <x:c r="P337" s="28" t="str"/>
      <x:c r="Q337" s="28" t="str"/>
      <x:c r="R337" s="28" t="str"/>
      <x:c r="S337" s="28" t="str">
        <x:v>Medium</x:v>
      </x:c>
      <x:c r="T337" s="28" t="str">
        <x:f>IF(L337="Done","Green",IF(L337="Blocked","Red",IF(TODAY()&gt;J337,"Red",IF(M337&gt;=0.6,"Yellow","Green"))))</x:f>
        <x:v>Green</x:v>
      </x:c>
      <x:c r="U337" s="28" t="str"/>
    </x:row>
    <x:row r="338">
      <x:c r="A338" s="28" t="str">
        <x:v>SV-08-0336</x:v>
      </x:c>
      <x:c r="B338" s="28" t="str">
        <x:v>Sprint 8</x:v>
      </x:c>
      <x:c r="C338" s="28" t="str">
        <x:v>Month 5</x:v>
      </x:c>
      <x:c r="D338" s="28" t="str">
        <x:v>Sales/Marketing/Presales</x:v>
      </x:c>
      <x:c r="E338" s="28" t="str">
        <x:v>Proxmox</x:v>
      </x:c>
      <x:c r="F338" s="28" t="str">
        <x:v>Buat program Proxmox Rescue</x:v>
      </x:c>
      <x:c r="G338" s="28" t="str">
        <x:v>Campaign</x:v>
      </x:c>
      <x:c r="H338" s="28" t="str">
        <x:v>High</x:v>
      </x:c>
      <x:c r="I338" s="42" t="n">
        <x:f>INDEX('Sprint Plan'!$D$9:$D$20,MATCH(B338,'Sprint Plan'!$A$9:$A$20,0))</x:f>
        <x:v>46316</x:v>
      </x:c>
      <x:c r="J338" s="42" t="n">
        <x:f>INDEX('Sprint Plan'!$E$9:$E$20,MATCH(B338,'Sprint Plan'!$A$9:$A$20,0))</x:f>
        <x:v>46329</x:v>
      </x:c>
      <x:c r="K338" s="28" t="str">
        <x:v>TBD</x:v>
      </x:c>
      <x:c r="L338" s="28" t="str">
        <x:v>Not Started</x:v>
      </x:c>
      <x:c r="M338" s="43" t="n">
        <x:v>0</x:v>
      </x:c>
      <x:c r="N338" s="28" t="n">
        <x:v>1</x:v>
      </x:c>
      <x:c r="O338" s="28" t="str"/>
      <x:c r="P338" s="28" t="str"/>
      <x:c r="Q338" s="28" t="str"/>
      <x:c r="R338" s="28" t="str"/>
      <x:c r="S338" s="28" t="str">
        <x:v>Medium</x:v>
      </x:c>
      <x:c r="T338" s="28" t="str">
        <x:f>IF(L338="Done","Green",IF(L338="Blocked","Red",IF(TODAY()&gt;J338,"Red",IF(M338&gt;=0.6,"Yellow","Green"))))</x:f>
        <x:v>Green</x:v>
      </x:c>
      <x:c r="U338" s="28" t="str"/>
    </x:row>
    <x:row r="339">
      <x:c r="A339" s="28" t="str">
        <x:v>SV-08-0337</x:v>
      </x:c>
      <x:c r="B339" s="28" t="str">
        <x:v>Sprint 8</x:v>
      </x:c>
      <x:c r="C339" s="28" t="str">
        <x:v>Month 5</x:v>
      </x:c>
      <x:c r="D339" s="28" t="str">
        <x:v>Sales/Marketing/Presales</x:v>
      </x:c>
      <x:c r="E339" s="28" t="str">
        <x:v>Assessment</x:v>
      </x:c>
      <x:c r="F339" s="28" t="str">
        <x:v>Buat migration assessment form</x:v>
      </x:c>
      <x:c r="G339" s="28" t="str">
        <x:v>Assessment form</x:v>
      </x:c>
      <x:c r="H339" s="28" t="str">
        <x:v>High</x:v>
      </x:c>
      <x:c r="I339" s="42" t="n">
        <x:f>INDEX('Sprint Plan'!$D$9:$D$20,MATCH(B339,'Sprint Plan'!$A$9:$A$20,0))</x:f>
        <x:v>46316</x:v>
      </x:c>
      <x:c r="J339" s="42" t="n">
        <x:f>INDEX('Sprint Plan'!$E$9:$E$20,MATCH(B339,'Sprint Plan'!$A$9:$A$20,0))</x:f>
        <x:v>46329</x:v>
      </x:c>
      <x:c r="K339" s="28" t="str">
        <x:v>TBD</x:v>
      </x:c>
      <x:c r="L339" s="28" t="str">
        <x:v>Not Started</x:v>
      </x:c>
      <x:c r="M339" s="43" t="n">
        <x:v>0</x:v>
      </x:c>
      <x:c r="N339" s="28" t="n">
        <x:v>1</x:v>
      </x:c>
      <x:c r="O339" s="28" t="str"/>
      <x:c r="P339" s="28" t="str"/>
      <x:c r="Q339" s="28" t="str"/>
      <x:c r="R339" s="28" t="str"/>
      <x:c r="S339" s="28" t="str">
        <x:v>Medium</x:v>
      </x:c>
      <x:c r="T339" s="28" t="str">
        <x:f>IF(L339="Done","Green",IF(L339="Blocked","Red",IF(TODAY()&gt;J339,"Red",IF(M339&gt;=0.6,"Yellow","Green"))))</x:f>
        <x:v>Green</x:v>
      </x:c>
      <x:c r="U339" s="28" t="str"/>
    </x:row>
    <x:row r="340">
      <x:c r="A340" s="28" t="str">
        <x:v>SV-08-0338</x:v>
      </x:c>
      <x:c r="B340" s="28" t="str">
        <x:v>Sprint 8</x:v>
      </x:c>
      <x:c r="C340" s="28" t="str">
        <x:v>Month 5</x:v>
      </x:c>
      <x:c r="D340" s="28" t="str">
        <x:v>Sales/Marketing/Presales</x:v>
      </x:c>
      <x:c r="E340" s="28" t="str">
        <x:v>Proposal</x:v>
      </x:c>
      <x:c r="F340" s="28" t="str">
        <x:v>Buat proposal migration package</x:v>
      </x:c>
      <x:c r="G340" s="28" t="str">
        <x:v>Proposal</x:v>
      </x:c>
      <x:c r="H340" s="28" t="str">
        <x:v>High</x:v>
      </x:c>
      <x:c r="I340" s="42" t="n">
        <x:f>INDEX('Sprint Plan'!$D$9:$D$20,MATCH(B340,'Sprint Plan'!$A$9:$A$20,0))</x:f>
        <x:v>46316</x:v>
      </x:c>
      <x:c r="J340" s="42" t="n">
        <x:f>INDEX('Sprint Plan'!$E$9:$E$20,MATCH(B340,'Sprint Plan'!$A$9:$A$20,0))</x:f>
        <x:v>46329</x:v>
      </x:c>
      <x:c r="K340" s="28" t="str">
        <x:v>TBD</x:v>
      </x:c>
      <x:c r="L340" s="28" t="str">
        <x:v>Not Started</x:v>
      </x:c>
      <x:c r="M340" s="43" t="n">
        <x:v>0</x:v>
      </x:c>
      <x:c r="N340" s="28" t="n">
        <x:v>1</x:v>
      </x:c>
      <x:c r="O340" s="28" t="str"/>
      <x:c r="P340" s="28" t="str"/>
      <x:c r="Q340" s="28" t="str"/>
      <x:c r="R340" s="28" t="str"/>
      <x:c r="S340" s="28" t="str">
        <x:v>Medium</x:v>
      </x:c>
      <x:c r="T340" s="28" t="str">
        <x:f>IF(L340="Done","Green",IF(L340="Blocked","Red",IF(TODAY()&gt;J340,"Red",IF(M340&gt;=0.6,"Yellow","Green"))))</x:f>
        <x:v>Green</x:v>
      </x:c>
      <x:c r="U340" s="28" t="str"/>
    </x:row>
    <x:row r="341">
      <x:c r="A341" s="28" t="str">
        <x:v>SV-08-0339</x:v>
      </x:c>
      <x:c r="B341" s="28" t="str">
        <x:v>Sprint 8</x:v>
      </x:c>
      <x:c r="C341" s="28" t="str">
        <x:v>Month 5</x:v>
      </x:c>
      <x:c r="D341" s="28" t="str">
        <x:v>Sales/Marketing/Presales</x:v>
      </x:c>
      <x:c r="E341" s="28" t="str">
        <x:v>Pricing</x:v>
      </x:c>
      <x:c r="F341" s="28" t="str">
        <x:v>Buat pricing migration per VM dan case study dummy</x:v>
      </x:c>
      <x:c r="G341" s="28" t="str">
        <x:v>Pricing/case study</x:v>
      </x:c>
      <x:c r="H341" s="28" t="str">
        <x:v>High</x:v>
      </x:c>
      <x:c r="I341" s="42" t="n">
        <x:f>INDEX('Sprint Plan'!$D$9:$D$20,MATCH(B341,'Sprint Plan'!$A$9:$A$20,0))</x:f>
        <x:v>46316</x:v>
      </x:c>
      <x:c r="J341" s="42" t="n">
        <x:f>INDEX('Sprint Plan'!$E$9:$E$20,MATCH(B341,'Sprint Plan'!$A$9:$A$20,0))</x:f>
        <x:v>46329</x:v>
      </x:c>
      <x:c r="K341" s="28" t="str">
        <x:v>TBD</x:v>
      </x:c>
      <x:c r="L341" s="28" t="str">
        <x:v>Not Started</x:v>
      </x:c>
      <x:c r="M341" s="43" t="n">
        <x:v>0</x:v>
      </x:c>
      <x:c r="N341" s="28" t="n">
        <x:v>1</x:v>
      </x:c>
      <x:c r="O341" s="28" t="str"/>
      <x:c r="P341" s="28" t="str"/>
      <x:c r="Q341" s="28" t="str"/>
      <x:c r="R341" s="28" t="str"/>
      <x:c r="S341" s="28" t="str">
        <x:v>Medium</x:v>
      </x:c>
      <x:c r="T341" s="28" t="str">
        <x:f>IF(L341="Done","Green",IF(L341="Blocked","Red",IF(TODAY()&gt;J341,"Red",IF(M341&gt;=0.6,"Yellow","Green"))))</x:f>
        <x:v>Green</x:v>
      </x:c>
      <x:c r="U341" s="28" t="str"/>
    </x:row>
    <x:row r="342">
      <x:c r="A342" s="28" t="str">
        <x:v>SV-09-0340</x:v>
      </x:c>
      <x:c r="B342" s="28" t="str">
        <x:v>Sprint 9</x:v>
      </x:c>
      <x:c r="C342" s="28" t="str">
        <x:v>Month 5</x:v>
      </x:c>
      <x:c r="D342" s="28" t="str">
        <x:v>Product Owner</x:v>
      </x:c>
      <x:c r="E342" s="28" t="str">
        <x:v>Tenant</x:v>
      </x:c>
      <x:c r="F342" s="28" t="str">
        <x:v>Definisikan tenant/project</x:v>
      </x:c>
      <x:c r="G342" s="28" t="str">
        <x:v>Tenant requirement</x:v>
      </x:c>
      <x:c r="H342" s="28" t="str">
        <x:v>Medium</x:v>
      </x:c>
      <x:c r="I342" s="42" t="n">
        <x:f>INDEX('Sprint Plan'!$D$9:$D$20,MATCH(B342,'Sprint Plan'!$A$9:$A$20,0))</x:f>
        <x:v>46330</x:v>
      </x:c>
      <x:c r="J342" s="42" t="n">
        <x:f>INDEX('Sprint Plan'!$E$9:$E$20,MATCH(B342,'Sprint Plan'!$A$9:$A$20,0))</x:f>
        <x:v>46343</x:v>
      </x:c>
      <x:c r="K342" s="28" t="str">
        <x:v>TBD</x:v>
      </x:c>
      <x:c r="L342" s="28" t="str">
        <x:v>Not Started</x:v>
      </x:c>
      <x:c r="M342" s="43" t="n">
        <x:v>0</x:v>
      </x:c>
      <x:c r="N342" s="28" t="n">
        <x:v>1</x:v>
      </x:c>
      <x:c r="O342" s="28" t="str"/>
      <x:c r="P342" s="28" t="str"/>
      <x:c r="Q342" s="28" t="str"/>
      <x:c r="R342" s="28" t="str"/>
      <x:c r="S342" s="28" t="str">
        <x:v>Medium</x:v>
      </x:c>
      <x:c r="T342" s="28" t="str">
        <x:f>IF(L342="Done","Green",IF(L342="Blocked","Red",IF(TODAY()&gt;J342,"Red",IF(M342&gt;=0.6,"Yellow","Green"))))</x:f>
        <x:v>Green</x:v>
      </x:c>
      <x:c r="U342" s="28" t="str"/>
    </x:row>
    <x:row r="343">
      <x:c r="A343" s="28" t="str">
        <x:v>SV-09-0341</x:v>
      </x:c>
      <x:c r="B343" s="28" t="str">
        <x:v>Sprint 9</x:v>
      </x:c>
      <x:c r="C343" s="28" t="str">
        <x:v>Month 5</x:v>
      </x:c>
      <x:c r="D343" s="28" t="str">
        <x:v>Product Owner</x:v>
      </x:c>
      <x:c r="E343" s="28" t="str">
        <x:v>Quota</x:v>
      </x:c>
      <x:c r="F343" s="28" t="str">
        <x:v>Definisikan quota</x:v>
      </x:c>
      <x:c r="G343" s="28" t="str">
        <x:v>Quota requirement</x:v>
      </x:c>
      <x:c r="H343" s="28" t="str">
        <x:v>Medium</x:v>
      </x:c>
      <x:c r="I343" s="42" t="n">
        <x:f>INDEX('Sprint Plan'!$D$9:$D$20,MATCH(B343,'Sprint Plan'!$A$9:$A$20,0))</x:f>
        <x:v>46330</x:v>
      </x:c>
      <x:c r="J343" s="42" t="n">
        <x:f>INDEX('Sprint Plan'!$E$9:$E$20,MATCH(B343,'Sprint Plan'!$A$9:$A$20,0))</x:f>
        <x:v>46343</x:v>
      </x:c>
      <x:c r="K343" s="28" t="str">
        <x:v>TBD</x:v>
      </x:c>
      <x:c r="L343" s="28" t="str">
        <x:v>Not Started</x:v>
      </x:c>
      <x:c r="M343" s="43" t="n">
        <x:v>0</x:v>
      </x:c>
      <x:c r="N343" s="28" t="n">
        <x:v>1</x:v>
      </x:c>
      <x:c r="O343" s="28" t="str"/>
      <x:c r="P343" s="28" t="str"/>
      <x:c r="Q343" s="28" t="str"/>
      <x:c r="R343" s="28" t="str"/>
      <x:c r="S343" s="28" t="str">
        <x:v>Medium</x:v>
      </x:c>
      <x:c r="T343" s="28" t="str">
        <x:f>IF(L343="Done","Green",IF(L343="Blocked","Red",IF(TODAY()&gt;J343,"Red",IF(M343&gt;=0.6,"Yellow","Green"))))</x:f>
        <x:v>Green</x:v>
      </x:c>
      <x:c r="U343" s="28" t="str"/>
    </x:row>
    <x:row r="344">
      <x:c r="A344" s="28" t="str">
        <x:v>SV-09-0342</x:v>
      </x:c>
      <x:c r="B344" s="28" t="str">
        <x:v>Sprint 9</x:v>
      </x:c>
      <x:c r="C344" s="28" t="str">
        <x:v>Month 5</x:v>
      </x:c>
      <x:c r="D344" s="28" t="str">
        <x:v>Product Owner</x:v>
      </x:c>
      <x:c r="E344" s="28" t="str">
        <x:v>Request</x:v>
      </x:c>
      <x:c r="F344" s="28" t="str">
        <x:v>Definisikan VM request flow</x:v>
      </x:c>
      <x:c r="G344" s="28" t="str">
        <x:v>Request flow</x:v>
      </x:c>
      <x:c r="H344" s="28" t="str">
        <x:v>Medium</x:v>
      </x:c>
      <x:c r="I344" s="42" t="n">
        <x:f>INDEX('Sprint Plan'!$D$9:$D$20,MATCH(B344,'Sprint Plan'!$A$9:$A$20,0))</x:f>
        <x:v>46330</x:v>
      </x:c>
      <x:c r="J344" s="42" t="n">
        <x:f>INDEX('Sprint Plan'!$E$9:$E$20,MATCH(B344,'Sprint Plan'!$A$9:$A$20,0))</x:f>
        <x:v>46343</x:v>
      </x:c>
      <x:c r="K344" s="28" t="str">
        <x:v>TBD</x:v>
      </x:c>
      <x:c r="L344" s="28" t="str">
        <x:v>Not Started</x:v>
      </x:c>
      <x:c r="M344" s="43" t="n">
        <x:v>0</x:v>
      </x:c>
      <x:c r="N344" s="28" t="n">
        <x:v>1</x:v>
      </x:c>
      <x:c r="O344" s="28" t="str"/>
      <x:c r="P344" s="28" t="str"/>
      <x:c r="Q344" s="28" t="str"/>
      <x:c r="R344" s="28" t="str"/>
      <x:c r="S344" s="28" t="str">
        <x:v>Medium</x:v>
      </x:c>
      <x:c r="T344" s="28" t="str">
        <x:f>IF(L344="Done","Green",IF(L344="Blocked","Red",IF(TODAY()&gt;J344,"Red",IF(M344&gt;=0.6,"Yellow","Green"))))</x:f>
        <x:v>Green</x:v>
      </x:c>
      <x:c r="U344" s="28" t="str"/>
    </x:row>
    <x:row r="345">
      <x:c r="A345" s="28" t="str">
        <x:v>SV-09-0343</x:v>
      </x:c>
      <x:c r="B345" s="28" t="str">
        <x:v>Sprint 9</x:v>
      </x:c>
      <x:c r="C345" s="28" t="str">
        <x:v>Month 5</x:v>
      </x:c>
      <x:c r="D345" s="28" t="str">
        <x:v>Product Owner</x:v>
      </x:c>
      <x:c r="E345" s="28" t="str">
        <x:v>Approval</x:v>
      </x:c>
      <x:c r="F345" s="28" t="str">
        <x:v>Definisikan approval flow</x:v>
      </x:c>
      <x:c r="G345" s="28" t="str">
        <x:v>Approval flow</x:v>
      </x:c>
      <x:c r="H345" s="28" t="str">
        <x:v>Medium</x:v>
      </x:c>
      <x:c r="I345" s="42" t="n">
        <x:f>INDEX('Sprint Plan'!$D$9:$D$20,MATCH(B345,'Sprint Plan'!$A$9:$A$20,0))</x:f>
        <x:v>46330</x:v>
      </x:c>
      <x:c r="J345" s="42" t="n">
        <x:f>INDEX('Sprint Plan'!$E$9:$E$20,MATCH(B345,'Sprint Plan'!$A$9:$A$20,0))</x:f>
        <x:v>46343</x:v>
      </x:c>
      <x:c r="K345" s="28" t="str">
        <x:v>TBD</x:v>
      </x:c>
      <x:c r="L345" s="28" t="str">
        <x:v>Not Started</x:v>
      </x:c>
      <x:c r="M345" s="43" t="n">
        <x:v>0</x:v>
      </x:c>
      <x:c r="N345" s="28" t="n">
        <x:v>1</x:v>
      </x:c>
      <x:c r="O345" s="28" t="str"/>
      <x:c r="P345" s="28" t="str"/>
      <x:c r="Q345" s="28" t="str"/>
      <x:c r="R345" s="28" t="str"/>
      <x:c r="S345" s="28" t="str">
        <x:v>Medium</x:v>
      </x:c>
      <x:c r="T345" s="28" t="str">
        <x:f>IF(L345="Done","Green",IF(L345="Blocked","Red",IF(TODAY()&gt;J345,"Red",IF(M345&gt;=0.6,"Yellow","Green"))))</x:f>
        <x:v>Green</x:v>
      </x:c>
      <x:c r="U345" s="28" t="str"/>
    </x:row>
    <x:row r="346">
      <x:c r="A346" s="28" t="str">
        <x:v>SV-09-0344</x:v>
      </x:c>
      <x:c r="B346" s="28" t="str">
        <x:v>Sprint 9</x:v>
      </x:c>
      <x:c r="C346" s="28" t="str">
        <x:v>Month 5</x:v>
      </x:c>
      <x:c r="D346" s="28" t="str">
        <x:v>Product Owner</x:v>
      </x:c>
      <x:c r="E346" s="28" t="str">
        <x:v>Usage</x:v>
      </x:c>
      <x:c r="F346" s="28" t="str">
        <x:v>Definisikan usage report</x:v>
      </x:c>
      <x:c r="G346" s="28" t="str">
        <x:v>Usage spec</x:v>
      </x:c>
      <x:c r="H346" s="28" t="str">
        <x:v>Medium</x:v>
      </x:c>
      <x:c r="I346" s="42" t="n">
        <x:f>INDEX('Sprint Plan'!$D$9:$D$20,MATCH(B346,'Sprint Plan'!$A$9:$A$20,0))</x:f>
        <x:v>46330</x:v>
      </x:c>
      <x:c r="J346" s="42" t="n">
        <x:f>INDEX('Sprint Plan'!$E$9:$E$20,MATCH(B346,'Sprint Plan'!$A$9:$A$20,0))</x:f>
        <x:v>46343</x:v>
      </x:c>
      <x:c r="K346" s="28" t="str">
        <x:v>TBD</x:v>
      </x:c>
      <x:c r="L346" s="28" t="str">
        <x:v>Not Started</x:v>
      </x:c>
      <x:c r="M346" s="43" t="n">
        <x:v>0</x:v>
      </x:c>
      <x:c r="N346" s="28" t="n">
        <x:v>1</x:v>
      </x:c>
      <x:c r="O346" s="28" t="str"/>
      <x:c r="P346" s="28" t="str"/>
      <x:c r="Q346" s="28" t="str"/>
      <x:c r="R346" s="28" t="str"/>
      <x:c r="S346" s="28" t="str">
        <x:v>Medium</x:v>
      </x:c>
      <x:c r="T346" s="28" t="str">
        <x:f>IF(L346="Done","Green",IF(L346="Blocked","Red",IF(TODAY()&gt;J346,"Red",IF(M346&gt;=0.6,"Yellow","Green"))))</x:f>
        <x:v>Green</x:v>
      </x:c>
      <x:c r="U346" s="28" t="str"/>
    </x:row>
    <x:row r="347">
      <x:c r="A347" s="28" t="str">
        <x:v>SV-09-0345</x:v>
      </x:c>
      <x:c r="B347" s="28" t="str">
        <x:v>Sprint 9</x:v>
      </x:c>
      <x:c r="C347" s="28" t="str">
        <x:v>Month 5</x:v>
      </x:c>
      <x:c r="D347" s="28" t="str">
        <x:v>Solution Architect</x:v>
      </x:c>
      <x:c r="E347" s="28" t="str">
        <x:v>Tenant Model</x:v>
      </x:c>
      <x:c r="F347" s="28" t="str">
        <x:v>Desain tenant model</x:v>
      </x:c>
      <x:c r="G347" s="28" t="str">
        <x:v>Tenant design</x:v>
      </x:c>
      <x:c r="H347" s="28" t="str">
        <x:v>Medium</x:v>
      </x:c>
      <x:c r="I347" s="42" t="n">
        <x:f>INDEX('Sprint Plan'!$D$9:$D$20,MATCH(B347,'Sprint Plan'!$A$9:$A$20,0))</x:f>
        <x:v>46330</x:v>
      </x:c>
      <x:c r="J347" s="42" t="n">
        <x:f>INDEX('Sprint Plan'!$E$9:$E$20,MATCH(B347,'Sprint Plan'!$A$9:$A$20,0))</x:f>
        <x:v>46343</x:v>
      </x:c>
      <x:c r="K347" s="28" t="str">
        <x:v>TBD</x:v>
      </x:c>
      <x:c r="L347" s="28" t="str">
        <x:v>Not Started</x:v>
      </x:c>
      <x:c r="M347" s="43" t="n">
        <x:v>0</x:v>
      </x:c>
      <x:c r="N347" s="28" t="n">
        <x:v>1</x:v>
      </x:c>
      <x:c r="O347" s="28" t="str"/>
      <x:c r="P347" s="28" t="str"/>
      <x:c r="Q347" s="28" t="str"/>
      <x:c r="R347" s="28" t="str"/>
      <x:c r="S347" s="28" t="str">
        <x:v>Medium</x:v>
      </x:c>
      <x:c r="T347" s="28" t="str">
        <x:f>IF(L347="Done","Green",IF(L347="Blocked","Red",IF(TODAY()&gt;J347,"Red",IF(M347&gt;=0.6,"Yellow","Green"))))</x:f>
        <x:v>Green</x:v>
      </x:c>
      <x:c r="U347" s="28" t="str"/>
    </x:row>
    <x:row r="348">
      <x:c r="A348" s="28" t="str">
        <x:v>SV-09-0346</x:v>
      </x:c>
      <x:c r="B348" s="28" t="str">
        <x:v>Sprint 9</x:v>
      </x:c>
      <x:c r="C348" s="28" t="str">
        <x:v>Month 5</x:v>
      </x:c>
      <x:c r="D348" s="28" t="str">
        <x:v>Solution Architect</x:v>
      </x:c>
      <x:c r="E348" s="28" t="str">
        <x:v>Quota Mapping</x:v>
      </x:c>
      <x:c r="F348" s="28" t="str">
        <x:v>Desain quota mapping ke OpenNebula</x:v>
      </x:c>
      <x:c r="G348" s="28" t="str">
        <x:v>Quota design</x:v>
      </x:c>
      <x:c r="H348" s="28" t="str">
        <x:v>Medium</x:v>
      </x:c>
      <x:c r="I348" s="42" t="n">
        <x:f>INDEX('Sprint Plan'!$D$9:$D$20,MATCH(B348,'Sprint Plan'!$A$9:$A$20,0))</x:f>
        <x:v>46330</x:v>
      </x:c>
      <x:c r="J348" s="42" t="n">
        <x:f>INDEX('Sprint Plan'!$E$9:$E$20,MATCH(B348,'Sprint Plan'!$A$9:$A$20,0))</x:f>
        <x:v>46343</x:v>
      </x:c>
      <x:c r="K348" s="28" t="str">
        <x:v>TBD</x:v>
      </x:c>
      <x:c r="L348" s="28" t="str">
        <x:v>Not Started</x:v>
      </x:c>
      <x:c r="M348" s="43" t="n">
        <x:v>0</x:v>
      </x:c>
      <x:c r="N348" s="28" t="n">
        <x:v>1</x:v>
      </x:c>
      <x:c r="O348" s="28" t="str"/>
      <x:c r="P348" s="28" t="str"/>
      <x:c r="Q348" s="28" t="str"/>
      <x:c r="R348" s="28" t="str"/>
      <x:c r="S348" s="28" t="str">
        <x:v>Medium</x:v>
      </x:c>
      <x:c r="T348" s="28" t="str">
        <x:f>IF(L348="Done","Green",IF(L348="Blocked","Red",IF(TODAY()&gt;J348,"Red",IF(M348&gt;=0.6,"Yellow","Green"))))</x:f>
        <x:v>Green</x:v>
      </x:c>
      <x:c r="U348" s="28" t="str"/>
    </x:row>
    <x:row r="349">
      <x:c r="A349" s="28" t="str">
        <x:v>SV-09-0347</x:v>
      </x:c>
      <x:c r="B349" s="28" t="str">
        <x:v>Sprint 9</x:v>
      </x:c>
      <x:c r="C349" s="28" t="str">
        <x:v>Month 5</x:v>
      </x:c>
      <x:c r="D349" s="28" t="str">
        <x:v>Solution Architect</x:v>
      </x:c>
      <x:c r="E349" s="28" t="str">
        <x:v>Approval</x:v>
      </x:c>
      <x:c r="F349" s="28" t="str">
        <x:v>Desain approval workflow</x:v>
      </x:c>
      <x:c r="G349" s="28" t="str">
        <x:v>Workflow design</x:v>
      </x:c>
      <x:c r="H349" s="28" t="str">
        <x:v>Medium</x:v>
      </x:c>
      <x:c r="I349" s="42" t="n">
        <x:f>INDEX('Sprint Plan'!$D$9:$D$20,MATCH(B349,'Sprint Plan'!$A$9:$A$20,0))</x:f>
        <x:v>46330</x:v>
      </x:c>
      <x:c r="J349" s="42" t="n">
        <x:f>INDEX('Sprint Plan'!$E$9:$E$20,MATCH(B349,'Sprint Plan'!$A$9:$A$20,0))</x:f>
        <x:v>46343</x:v>
      </x:c>
      <x:c r="K349" s="28" t="str">
        <x:v>TBD</x:v>
      </x:c>
      <x:c r="L349" s="28" t="str">
        <x:v>Not Started</x:v>
      </x:c>
      <x:c r="M349" s="43" t="n">
        <x:v>0</x:v>
      </x:c>
      <x:c r="N349" s="28" t="n">
        <x:v>1</x:v>
      </x:c>
      <x:c r="O349" s="28" t="str"/>
      <x:c r="P349" s="28" t="str"/>
      <x:c r="Q349" s="28" t="str"/>
      <x:c r="R349" s="28" t="str"/>
      <x:c r="S349" s="28" t="str">
        <x:v>Medium</x:v>
      </x:c>
      <x:c r="T349" s="28" t="str">
        <x:f>IF(L349="Done","Green",IF(L349="Blocked","Red",IF(TODAY()&gt;J349,"Red",IF(M349&gt;=0.6,"Yellow","Green"))))</x:f>
        <x:v>Green</x:v>
      </x:c>
      <x:c r="U349" s="28" t="str"/>
    </x:row>
    <x:row r="350">
      <x:c r="A350" s="28" t="str">
        <x:v>SV-09-0348</x:v>
      </x:c>
      <x:c r="B350" s="28" t="str">
        <x:v>Sprint 9</x:v>
      </x:c>
      <x:c r="C350" s="28" t="str">
        <x:v>Month 5</x:v>
      </x:c>
      <x:c r="D350" s="28" t="str">
        <x:v>Solution Architect</x:v>
      </x:c>
      <x:c r="E350" s="28" t="str">
        <x:v>Metering</x:v>
      </x:c>
      <x:c r="F350" s="28" t="str">
        <x:v>Desain usage metering</x:v>
      </x:c>
      <x:c r="G350" s="28" t="str">
        <x:v>Metering design</x:v>
      </x:c>
      <x:c r="H350" s="28" t="str">
        <x:v>Medium</x:v>
      </x:c>
      <x:c r="I350" s="42" t="n">
        <x:f>INDEX('Sprint Plan'!$D$9:$D$20,MATCH(B350,'Sprint Plan'!$A$9:$A$20,0))</x:f>
        <x:v>46330</x:v>
      </x:c>
      <x:c r="J350" s="42" t="n">
        <x:f>INDEX('Sprint Plan'!$E$9:$E$20,MATCH(B350,'Sprint Plan'!$A$9:$A$20,0))</x:f>
        <x:v>46343</x:v>
      </x:c>
      <x:c r="K350" s="28" t="str">
        <x:v>TBD</x:v>
      </x:c>
      <x:c r="L350" s="28" t="str">
        <x:v>Not Started</x:v>
      </x:c>
      <x:c r="M350" s="43" t="n">
        <x:v>0</x:v>
      </x:c>
      <x:c r="N350" s="28" t="n">
        <x:v>1</x:v>
      </x:c>
      <x:c r="O350" s="28" t="str"/>
      <x:c r="P350" s="28" t="str"/>
      <x:c r="Q350" s="28" t="str"/>
      <x:c r="R350" s="28" t="str"/>
      <x:c r="S350" s="28" t="str">
        <x:v>Medium</x:v>
      </x:c>
      <x:c r="T350" s="28" t="str">
        <x:f>IF(L350="Done","Green",IF(L350="Blocked","Red",IF(TODAY()&gt;J350,"Red",IF(M350&gt;=0.6,"Yellow","Green"))))</x:f>
        <x:v>Green</x:v>
      </x:c>
      <x:c r="U350" s="28" t="str"/>
    </x:row>
    <x:row r="351">
      <x:c r="A351" s="28" t="str">
        <x:v>SV-09-0349</x:v>
      </x:c>
      <x:c r="B351" s="28" t="str">
        <x:v>Sprint 9</x:v>
      </x:c>
      <x:c r="C351" s="28" t="str">
        <x:v>Month 5</x:v>
      </x:c>
      <x:c r="D351" s="28" t="str">
        <x:v>Solution Architect</x:v>
      </x:c>
      <x:c r="E351" s="28" t="str">
        <x:v>RBAC</x:v>
      </x:c>
      <x:c r="F351" s="28" t="str">
        <x:v>Review RBAC tenant</x:v>
      </x:c>
      <x:c r="G351" s="28" t="str">
        <x:v>RBAC review</x:v>
      </x:c>
      <x:c r="H351" s="28" t="str">
        <x:v>Medium</x:v>
      </x:c>
      <x:c r="I351" s="42" t="n">
        <x:f>INDEX('Sprint Plan'!$D$9:$D$20,MATCH(B351,'Sprint Plan'!$A$9:$A$20,0))</x:f>
        <x:v>46330</x:v>
      </x:c>
      <x:c r="J351" s="42" t="n">
        <x:f>INDEX('Sprint Plan'!$E$9:$E$20,MATCH(B351,'Sprint Plan'!$A$9:$A$20,0))</x:f>
        <x:v>46343</x:v>
      </x:c>
      <x:c r="K351" s="28" t="str">
        <x:v>TBD</x:v>
      </x:c>
      <x:c r="L351" s="28" t="str">
        <x:v>Not Started</x:v>
      </x:c>
      <x:c r="M351" s="43" t="n">
        <x:v>0</x:v>
      </x:c>
      <x:c r="N351" s="28" t="n">
        <x:v>1</x:v>
      </x:c>
      <x:c r="O351" s="28" t="str"/>
      <x:c r="P351" s="28" t="str"/>
      <x:c r="Q351" s="28" t="str"/>
      <x:c r="R351" s="28" t="str"/>
      <x:c r="S351" s="28" t="str">
        <x:v>Medium</x:v>
      </x:c>
      <x:c r="T351" s="28" t="str">
        <x:f>IF(L351="Done","Green",IF(L351="Blocked","Red",IF(TODAY()&gt;J351,"Red",IF(M351&gt;=0.6,"Yellow","Green"))))</x:f>
        <x:v>Green</x:v>
      </x:c>
      <x:c r="U351" s="28" t="str"/>
    </x:row>
    <x:row r="352">
      <x:c r="A352" s="28" t="str">
        <x:v>SV-09-0350</x:v>
      </x:c>
      <x:c r="B352" s="28" t="str">
        <x:v>Sprint 9</x:v>
      </x:c>
      <x:c r="C352" s="28" t="str">
        <x:v>Month 5</x:v>
      </x:c>
      <x:c r="D352" s="28" t="str">
        <x:v>Infra/OpenNebula Engineer</x:v>
      </x:c>
      <x:c r="E352" s="28" t="str">
        <x:v>Mapping</x:v>
      </x:c>
      <x:c r="F352" s="28" t="str">
        <x:v>Mapping tenant ke OpenNebula group/VDC</x:v>
      </x:c>
      <x:c r="G352" s="28" t="str">
        <x:v>Mapping note</x:v>
      </x:c>
      <x:c r="H352" s="28" t="str">
        <x:v>Medium</x:v>
      </x:c>
      <x:c r="I352" s="42" t="n">
        <x:f>INDEX('Sprint Plan'!$D$9:$D$20,MATCH(B352,'Sprint Plan'!$A$9:$A$20,0))</x:f>
        <x:v>46330</x:v>
      </x:c>
      <x:c r="J352" s="42" t="n">
        <x:f>INDEX('Sprint Plan'!$E$9:$E$20,MATCH(B352,'Sprint Plan'!$A$9:$A$20,0))</x:f>
        <x:v>46343</x:v>
      </x:c>
      <x:c r="K352" s="28" t="str">
        <x:v>TBD</x:v>
      </x:c>
      <x:c r="L352" s="28" t="str">
        <x:v>Not Started</x:v>
      </x:c>
      <x:c r="M352" s="43" t="n">
        <x:v>0</x:v>
      </x:c>
      <x:c r="N352" s="28" t="n">
        <x:v>1</x:v>
      </x:c>
      <x:c r="O352" s="28" t="str"/>
      <x:c r="P352" s="28" t="str"/>
      <x:c r="Q352" s="28" t="str"/>
      <x:c r="R352" s="28" t="str"/>
      <x:c r="S352" s="28" t="str">
        <x:v>Medium</x:v>
      </x:c>
      <x:c r="T352" s="28" t="str">
        <x:f>IF(L352="Done","Green",IF(L352="Blocked","Red",IF(TODAY()&gt;J352,"Red",IF(M352&gt;=0.6,"Yellow","Green"))))</x:f>
        <x:v>Green</x:v>
      </x:c>
      <x:c r="U352" s="28" t="str"/>
    </x:row>
    <x:row r="353">
      <x:c r="A353" s="28" t="str">
        <x:v>SV-09-0351</x:v>
      </x:c>
      <x:c r="B353" s="28" t="str">
        <x:v>Sprint 9</x:v>
      </x:c>
      <x:c r="C353" s="28" t="str">
        <x:v>Month 5</x:v>
      </x:c>
      <x:c r="D353" s="28" t="str">
        <x:v>Infra/OpenNebula Engineer</x:v>
      </x:c>
      <x:c r="E353" s="28" t="str">
        <x:v>Quota Test</x:v>
      </x:c>
      <x:c r="F353" s="28" t="str">
        <x:v>Test quota di OpenNebula</x:v>
      </x:c>
      <x:c r="G353" s="28" t="str">
        <x:v>Quota test</x:v>
      </x:c>
      <x:c r="H353" s="28" t="str">
        <x:v>Medium</x:v>
      </x:c>
      <x:c r="I353" s="42" t="n">
        <x:f>INDEX('Sprint Plan'!$D$9:$D$20,MATCH(B353,'Sprint Plan'!$A$9:$A$20,0))</x:f>
        <x:v>46330</x:v>
      </x:c>
      <x:c r="J353" s="42" t="n">
        <x:f>INDEX('Sprint Plan'!$E$9:$E$20,MATCH(B353,'Sprint Plan'!$A$9:$A$20,0))</x:f>
        <x:v>46343</x:v>
      </x:c>
      <x:c r="K353" s="28" t="str">
        <x:v>TBD</x:v>
      </x:c>
      <x:c r="L353" s="28" t="str">
        <x:v>Not Started</x:v>
      </x:c>
      <x:c r="M353" s="43" t="n">
        <x:v>0</x:v>
      </x:c>
      <x:c r="N353" s="28" t="n">
        <x:v>1</x:v>
      </x:c>
      <x:c r="O353" s="28" t="str"/>
      <x:c r="P353" s="28" t="str"/>
      <x:c r="Q353" s="28" t="str"/>
      <x:c r="R353" s="28" t="str"/>
      <x:c r="S353" s="28" t="str">
        <x:v>Medium</x:v>
      </x:c>
      <x:c r="T353" s="28" t="str">
        <x:f>IF(L353="Done","Green",IF(L353="Blocked","Red",IF(TODAY()&gt;J353,"Red",IF(M353&gt;=0.6,"Yellow","Green"))))</x:f>
        <x:v>Green</x:v>
      </x:c>
      <x:c r="U353" s="28" t="str"/>
    </x:row>
    <x:row r="354">
      <x:c r="A354" s="28" t="str">
        <x:v>SV-09-0352</x:v>
      </x:c>
      <x:c r="B354" s="28" t="str">
        <x:v>Sprint 9</x:v>
      </x:c>
      <x:c r="C354" s="28" t="str">
        <x:v>Month 5</x:v>
      </x:c>
      <x:c r="D354" s="28" t="str">
        <x:v>Infra/OpenNebula Engineer</x:v>
      </x:c>
      <x:c r="E354" s="28" t="str">
        <x:v>Resource</x:v>
      </x:c>
      <x:c r="F354" s="28" t="str">
        <x:v>Test resource allocation</x:v>
      </x:c>
      <x:c r="G354" s="28" t="str">
        <x:v>Resource test</x:v>
      </x:c>
      <x:c r="H354" s="28" t="str">
        <x:v>Medium</x:v>
      </x:c>
      <x:c r="I354" s="42" t="n">
        <x:f>INDEX('Sprint Plan'!$D$9:$D$20,MATCH(B354,'Sprint Plan'!$A$9:$A$20,0))</x:f>
        <x:v>46330</x:v>
      </x:c>
      <x:c r="J354" s="42" t="n">
        <x:f>INDEX('Sprint Plan'!$E$9:$E$20,MATCH(B354,'Sprint Plan'!$A$9:$A$20,0))</x:f>
        <x:v>46343</x:v>
      </x:c>
      <x:c r="K354" s="28" t="str">
        <x:v>TBD</x:v>
      </x:c>
      <x:c r="L354" s="28" t="str">
        <x:v>Not Started</x:v>
      </x:c>
      <x:c r="M354" s="43" t="n">
        <x:v>0</x:v>
      </x:c>
      <x:c r="N354" s="28" t="n">
        <x:v>1</x:v>
      </x:c>
      <x:c r="O354" s="28" t="str"/>
      <x:c r="P354" s="28" t="str"/>
      <x:c r="Q354" s="28" t="str"/>
      <x:c r="R354" s="28" t="str"/>
      <x:c r="S354" s="28" t="str">
        <x:v>Medium</x:v>
      </x:c>
      <x:c r="T354" s="28" t="str">
        <x:f>IF(L354="Done","Green",IF(L354="Blocked","Red",IF(TODAY()&gt;J354,"Red",IF(M354&gt;=0.6,"Yellow","Green"))))</x:f>
        <x:v>Green</x:v>
      </x:c>
      <x:c r="U354" s="28" t="str"/>
    </x:row>
    <x:row r="355">
      <x:c r="A355" s="28" t="str">
        <x:v>SV-09-0353</x:v>
      </x:c>
      <x:c r="B355" s="28" t="str">
        <x:v>Sprint 9</x:v>
      </x:c>
      <x:c r="C355" s="28" t="str">
        <x:v>Month 5</x:v>
      </x:c>
      <x:c r="D355" s="28" t="str">
        <x:v>Infra/OpenNebula Engineer</x:v>
      </x:c>
      <x:c r="E355" s="28" t="str">
        <x:v>Isolation</x:v>
      </x:c>
      <x:c r="F355" s="28" t="str">
        <x:v>Test isolation basic</x:v>
      </x:c>
      <x:c r="G355" s="28" t="str">
        <x:v>Isolation test</x:v>
      </x:c>
      <x:c r="H355" s="28" t="str">
        <x:v>Medium</x:v>
      </x:c>
      <x:c r="I355" s="42" t="n">
        <x:f>INDEX('Sprint Plan'!$D$9:$D$20,MATCH(B355,'Sprint Plan'!$A$9:$A$20,0))</x:f>
        <x:v>46330</x:v>
      </x:c>
      <x:c r="J355" s="42" t="n">
        <x:f>INDEX('Sprint Plan'!$E$9:$E$20,MATCH(B355,'Sprint Plan'!$A$9:$A$20,0))</x:f>
        <x:v>46343</x:v>
      </x:c>
      <x:c r="K355" s="28" t="str">
        <x:v>TBD</x:v>
      </x:c>
      <x:c r="L355" s="28" t="str">
        <x:v>Not Started</x:v>
      </x:c>
      <x:c r="M355" s="43" t="n">
        <x:v>0</x:v>
      </x:c>
      <x:c r="N355" s="28" t="n">
        <x:v>1</x:v>
      </x:c>
      <x:c r="O355" s="28" t="str"/>
      <x:c r="P355" s="28" t="str"/>
      <x:c r="Q355" s="28" t="str"/>
      <x:c r="R355" s="28" t="str"/>
      <x:c r="S355" s="28" t="str">
        <x:v>Medium</x:v>
      </x:c>
      <x:c r="T355" s="28" t="str">
        <x:f>IF(L355="Done","Green",IF(L355="Blocked","Red",IF(TODAY()&gt;J355,"Red",IF(M355&gt;=0.6,"Yellow","Green"))))</x:f>
        <x:v>Green</x:v>
      </x:c>
      <x:c r="U355" s="28" t="str"/>
    </x:row>
    <x:row r="356">
      <x:c r="A356" s="28" t="str">
        <x:v>SV-09-0354</x:v>
      </x:c>
      <x:c r="B356" s="28" t="str">
        <x:v>Sprint 9</x:v>
      </x:c>
      <x:c r="C356" s="28" t="str">
        <x:v>Month 5</x:v>
      </x:c>
      <x:c r="D356" s="28" t="str">
        <x:v>Backend Engineer</x:v>
      </x:c>
      <x:c r="E356" s="28" t="str">
        <x:v>Tenant API</x:v>
      </x:c>
      <x:c r="F356" s="28" t="str">
        <x:v>Implement tenant API</x:v>
      </x:c>
      <x:c r="G356" s="28" t="str">
        <x:v>Tenant API</x:v>
      </x:c>
      <x:c r="H356" s="28" t="str">
        <x:v>Medium</x:v>
      </x:c>
      <x:c r="I356" s="42" t="n">
        <x:f>INDEX('Sprint Plan'!$D$9:$D$20,MATCH(B356,'Sprint Plan'!$A$9:$A$20,0))</x:f>
        <x:v>46330</x:v>
      </x:c>
      <x:c r="J356" s="42" t="n">
        <x:f>INDEX('Sprint Plan'!$E$9:$E$20,MATCH(B356,'Sprint Plan'!$A$9:$A$20,0))</x:f>
        <x:v>46343</x:v>
      </x:c>
      <x:c r="K356" s="28" t="str">
        <x:v>TBD</x:v>
      </x:c>
      <x:c r="L356" s="28" t="str">
        <x:v>Not Started</x:v>
      </x:c>
      <x:c r="M356" s="43" t="n">
        <x:v>0</x:v>
      </x:c>
      <x:c r="N356" s="28" t="n">
        <x:v>1</x:v>
      </x:c>
      <x:c r="O356" s="28" t="str"/>
      <x:c r="P356" s="28" t="str"/>
      <x:c r="Q356" s="28" t="str"/>
      <x:c r="R356" s="28" t="str"/>
      <x:c r="S356" s="28" t="str">
        <x:v>Medium</x:v>
      </x:c>
      <x:c r="T356" s="28" t="str">
        <x:f>IF(L356="Done","Green",IF(L356="Blocked","Red",IF(TODAY()&gt;J356,"Red",IF(M356&gt;=0.6,"Yellow","Green"))))</x:f>
        <x:v>Green</x:v>
      </x:c>
      <x:c r="U356" s="28" t="str"/>
    </x:row>
    <x:row r="357">
      <x:c r="A357" s="28" t="str">
        <x:v>SV-09-0355</x:v>
      </x:c>
      <x:c r="B357" s="28" t="str">
        <x:v>Sprint 9</x:v>
      </x:c>
      <x:c r="C357" s="28" t="str">
        <x:v>Month 5</x:v>
      </x:c>
      <x:c r="D357" s="28" t="str">
        <x:v>Backend Engineer</x:v>
      </x:c>
      <x:c r="E357" s="28" t="str">
        <x:v>Quota API</x:v>
      </x:c>
      <x:c r="F357" s="28" t="str">
        <x:v>Implement quota API</x:v>
      </x:c>
      <x:c r="G357" s="28" t="str">
        <x:v>Quota API</x:v>
      </x:c>
      <x:c r="H357" s="28" t="str">
        <x:v>Medium</x:v>
      </x:c>
      <x:c r="I357" s="42" t="n">
        <x:f>INDEX('Sprint Plan'!$D$9:$D$20,MATCH(B357,'Sprint Plan'!$A$9:$A$20,0))</x:f>
        <x:v>46330</x:v>
      </x:c>
      <x:c r="J357" s="42" t="n">
        <x:f>INDEX('Sprint Plan'!$E$9:$E$20,MATCH(B357,'Sprint Plan'!$A$9:$A$20,0))</x:f>
        <x:v>46343</x:v>
      </x:c>
      <x:c r="K357" s="28" t="str">
        <x:v>TBD</x:v>
      </x:c>
      <x:c r="L357" s="28" t="str">
        <x:v>Not Started</x:v>
      </x:c>
      <x:c r="M357" s="43" t="n">
        <x:v>0</x:v>
      </x:c>
      <x:c r="N357" s="28" t="n">
        <x:v>1</x:v>
      </x:c>
      <x:c r="O357" s="28" t="str"/>
      <x:c r="P357" s="28" t="str"/>
      <x:c r="Q357" s="28" t="str"/>
      <x:c r="R357" s="28" t="str"/>
      <x:c r="S357" s="28" t="str">
        <x:v>Medium</x:v>
      </x:c>
      <x:c r="T357" s="28" t="str">
        <x:f>IF(L357="Done","Green",IF(L357="Blocked","Red",IF(TODAY()&gt;J357,"Red",IF(M357&gt;=0.6,"Yellow","Green"))))</x:f>
        <x:v>Green</x:v>
      </x:c>
      <x:c r="U357" s="28" t="str"/>
    </x:row>
    <x:row r="358">
      <x:c r="A358" s="28" t="str">
        <x:v>SV-09-0356</x:v>
      </x:c>
      <x:c r="B358" s="28" t="str">
        <x:v>Sprint 9</x:v>
      </x:c>
      <x:c r="C358" s="28" t="str">
        <x:v>Month 5</x:v>
      </x:c>
      <x:c r="D358" s="28" t="str">
        <x:v>Backend Engineer</x:v>
      </x:c>
      <x:c r="E358" s="28" t="str">
        <x:v>Request API</x:v>
      </x:c>
      <x:c r="F358" s="28" t="str">
        <x:v>Implement VM request API</x:v>
      </x:c>
      <x:c r="G358" s="28" t="str">
        <x:v>Request API</x:v>
      </x:c>
      <x:c r="H358" s="28" t="str">
        <x:v>Medium</x:v>
      </x:c>
      <x:c r="I358" s="42" t="n">
        <x:f>INDEX('Sprint Plan'!$D$9:$D$20,MATCH(B358,'Sprint Plan'!$A$9:$A$20,0))</x:f>
        <x:v>46330</x:v>
      </x:c>
      <x:c r="J358" s="42" t="n">
        <x:f>INDEX('Sprint Plan'!$E$9:$E$20,MATCH(B358,'Sprint Plan'!$A$9:$A$20,0))</x:f>
        <x:v>46343</x:v>
      </x:c>
      <x:c r="K358" s="28" t="str">
        <x:v>TBD</x:v>
      </x:c>
      <x:c r="L358" s="28" t="str">
        <x:v>Not Started</x:v>
      </x:c>
      <x:c r="M358" s="43" t="n">
        <x:v>0</x:v>
      </x:c>
      <x:c r="N358" s="28" t="n">
        <x:v>1</x:v>
      </x:c>
      <x:c r="O358" s="28" t="str"/>
      <x:c r="P358" s="28" t="str"/>
      <x:c r="Q358" s="28" t="str"/>
      <x:c r="R358" s="28" t="str"/>
      <x:c r="S358" s="28" t="str">
        <x:v>Medium</x:v>
      </x:c>
      <x:c r="T358" s="28" t="str">
        <x:f>IF(L358="Done","Green",IF(L358="Blocked","Red",IF(TODAY()&gt;J358,"Red",IF(M358&gt;=0.6,"Yellow","Green"))))</x:f>
        <x:v>Green</x:v>
      </x:c>
      <x:c r="U358" s="28" t="str"/>
    </x:row>
    <x:row r="359">
      <x:c r="A359" s="28" t="str">
        <x:v>SV-09-0357</x:v>
      </x:c>
      <x:c r="B359" s="28" t="str">
        <x:v>Sprint 9</x:v>
      </x:c>
      <x:c r="C359" s="28" t="str">
        <x:v>Month 5</x:v>
      </x:c>
      <x:c r="D359" s="28" t="str">
        <x:v>Backend Engineer</x:v>
      </x:c>
      <x:c r="E359" s="28" t="str">
        <x:v>Approval API</x:v>
      </x:c>
      <x:c r="F359" s="28" t="str">
        <x:v>Implement approval API</x:v>
      </x:c>
      <x:c r="G359" s="28" t="str">
        <x:v>Approval API</x:v>
      </x:c>
      <x:c r="H359" s="28" t="str">
        <x:v>Medium</x:v>
      </x:c>
      <x:c r="I359" s="42" t="n">
        <x:f>INDEX('Sprint Plan'!$D$9:$D$20,MATCH(B359,'Sprint Plan'!$A$9:$A$20,0))</x:f>
        <x:v>46330</x:v>
      </x:c>
      <x:c r="J359" s="42" t="n">
        <x:f>INDEX('Sprint Plan'!$E$9:$E$20,MATCH(B359,'Sprint Plan'!$A$9:$A$20,0))</x:f>
        <x:v>46343</x:v>
      </x:c>
      <x:c r="K359" s="28" t="str">
        <x:v>TBD</x:v>
      </x:c>
      <x:c r="L359" s="28" t="str">
        <x:v>Not Started</x:v>
      </x:c>
      <x:c r="M359" s="43" t="n">
        <x:v>0</x:v>
      </x:c>
      <x:c r="N359" s="28" t="n">
        <x:v>1</x:v>
      </x:c>
      <x:c r="O359" s="28" t="str"/>
      <x:c r="P359" s="28" t="str"/>
      <x:c r="Q359" s="28" t="str"/>
      <x:c r="R359" s="28" t="str"/>
      <x:c r="S359" s="28" t="str">
        <x:v>Medium</x:v>
      </x:c>
      <x:c r="T359" s="28" t="str">
        <x:f>IF(L359="Done","Green",IF(L359="Blocked","Red",IF(TODAY()&gt;J359,"Red",IF(M359&gt;=0.6,"Yellow","Green"))))</x:f>
        <x:v>Green</x:v>
      </x:c>
      <x:c r="U359" s="28" t="str"/>
    </x:row>
    <x:row r="360">
      <x:c r="A360" s="28" t="str">
        <x:v>SV-09-0358</x:v>
      </x:c>
      <x:c r="B360" s="28" t="str">
        <x:v>Sprint 9</x:v>
      </x:c>
      <x:c r="C360" s="28" t="str">
        <x:v>Month 5</x:v>
      </x:c>
      <x:c r="D360" s="28" t="str">
        <x:v>Backend Engineer</x:v>
      </x:c>
      <x:c r="E360" s="28" t="str">
        <x:v>Usage API</x:v>
      </x:c>
      <x:c r="F360" s="28" t="str">
        <x:v>Implement usage API, tenant audit, tenant role</x:v>
      </x:c>
      <x:c r="G360" s="28" t="str">
        <x:v>Usage/tenant APIs</x:v>
      </x:c>
      <x:c r="H360" s="28" t="str">
        <x:v>Medium</x:v>
      </x:c>
      <x:c r="I360" s="42" t="n">
        <x:f>INDEX('Sprint Plan'!$D$9:$D$20,MATCH(B360,'Sprint Plan'!$A$9:$A$20,0))</x:f>
        <x:v>46330</x:v>
      </x:c>
      <x:c r="J360" s="42" t="n">
        <x:f>INDEX('Sprint Plan'!$E$9:$E$20,MATCH(B360,'Sprint Plan'!$A$9:$A$20,0))</x:f>
        <x:v>46343</x:v>
      </x:c>
      <x:c r="K360" s="28" t="str">
        <x:v>TBD</x:v>
      </x:c>
      <x:c r="L360" s="28" t="str">
        <x:v>Not Started</x:v>
      </x:c>
      <x:c r="M360" s="43" t="n">
        <x:v>0</x:v>
      </x:c>
      <x:c r="N360" s="28" t="n">
        <x:v>1</x:v>
      </x:c>
      <x:c r="O360" s="28" t="str"/>
      <x:c r="P360" s="28" t="str"/>
      <x:c r="Q360" s="28" t="str"/>
      <x:c r="R360" s="28" t="str"/>
      <x:c r="S360" s="28" t="str">
        <x:v>Medium</x:v>
      </x:c>
      <x:c r="T360" s="28" t="str">
        <x:f>IF(L360="Done","Green",IF(L360="Blocked","Red",IF(TODAY()&gt;J360,"Red",IF(M360&gt;=0.6,"Yellow","Green"))))</x:f>
        <x:v>Green</x:v>
      </x:c>
      <x:c r="U360" s="28" t="str"/>
    </x:row>
    <x:row r="361">
      <x:c r="A361" s="28" t="str">
        <x:v>SV-09-0359</x:v>
      </x:c>
      <x:c r="B361" s="28" t="str">
        <x:v>Sprint 9</x:v>
      </x:c>
      <x:c r="C361" s="28" t="str">
        <x:v>Month 5</x:v>
      </x:c>
      <x:c r="D361" s="28" t="str">
        <x:v>Frontend Engineer</x:v>
      </x:c>
      <x:c r="E361" s="28" t="str">
        <x:v>Tenant</x:v>
      </x:c>
      <x:c r="F361" s="28" t="str">
        <x:v>Build tenant page</x:v>
      </x:c>
      <x:c r="G361" s="28" t="str">
        <x:v>Tenant UI</x:v>
      </x:c>
      <x:c r="H361" s="28" t="str">
        <x:v>Medium</x:v>
      </x:c>
      <x:c r="I361" s="42" t="n">
        <x:f>INDEX('Sprint Plan'!$D$9:$D$20,MATCH(B361,'Sprint Plan'!$A$9:$A$20,0))</x:f>
        <x:v>46330</x:v>
      </x:c>
      <x:c r="J361" s="42" t="n">
        <x:f>INDEX('Sprint Plan'!$E$9:$E$20,MATCH(B361,'Sprint Plan'!$A$9:$A$20,0))</x:f>
        <x:v>46343</x:v>
      </x:c>
      <x:c r="K361" s="28" t="str">
        <x:v>TBD</x:v>
      </x:c>
      <x:c r="L361" s="28" t="str">
        <x:v>Not Started</x:v>
      </x:c>
      <x:c r="M361" s="43" t="n">
        <x:v>0</x:v>
      </x:c>
      <x:c r="N361" s="28" t="n">
        <x:v>1</x:v>
      </x:c>
      <x:c r="O361" s="28" t="str"/>
      <x:c r="P361" s="28" t="str"/>
      <x:c r="Q361" s="28" t="str"/>
      <x:c r="R361" s="28" t="str"/>
      <x:c r="S361" s="28" t="str">
        <x:v>Medium</x:v>
      </x:c>
      <x:c r="T361" s="28" t="str">
        <x:f>IF(L361="Done","Green",IF(L361="Blocked","Red",IF(TODAY()&gt;J361,"Red",IF(M361&gt;=0.6,"Yellow","Green"))))</x:f>
        <x:v>Green</x:v>
      </x:c>
      <x:c r="U361" s="28" t="str"/>
    </x:row>
    <x:row r="362">
      <x:c r="A362" s="28" t="str">
        <x:v>SV-09-0360</x:v>
      </x:c>
      <x:c r="B362" s="28" t="str">
        <x:v>Sprint 9</x:v>
      </x:c>
      <x:c r="C362" s="28" t="str">
        <x:v>Month 5</x:v>
      </x:c>
      <x:c r="D362" s="28" t="str">
        <x:v>Frontend Engineer</x:v>
      </x:c>
      <x:c r="E362" s="28" t="str">
        <x:v>Quota</x:v>
      </x:c>
      <x:c r="F362" s="28" t="str">
        <x:v>Build quota page</x:v>
      </x:c>
      <x:c r="G362" s="28" t="str">
        <x:v>Quota UI</x:v>
      </x:c>
      <x:c r="H362" s="28" t="str">
        <x:v>Medium</x:v>
      </x:c>
      <x:c r="I362" s="42" t="n">
        <x:f>INDEX('Sprint Plan'!$D$9:$D$20,MATCH(B362,'Sprint Plan'!$A$9:$A$20,0))</x:f>
        <x:v>46330</x:v>
      </x:c>
      <x:c r="J362" s="42" t="n">
        <x:f>INDEX('Sprint Plan'!$E$9:$E$20,MATCH(B362,'Sprint Plan'!$A$9:$A$20,0))</x:f>
        <x:v>46343</x:v>
      </x:c>
      <x:c r="K362" s="28" t="str">
        <x:v>TBD</x:v>
      </x:c>
      <x:c r="L362" s="28" t="str">
        <x:v>Not Started</x:v>
      </x:c>
      <x:c r="M362" s="43" t="n">
        <x:v>0</x:v>
      </x:c>
      <x:c r="N362" s="28" t="n">
        <x:v>1</x:v>
      </x:c>
      <x:c r="O362" s="28" t="str"/>
      <x:c r="P362" s="28" t="str"/>
      <x:c r="Q362" s="28" t="str"/>
      <x:c r="R362" s="28" t="str"/>
      <x:c r="S362" s="28" t="str">
        <x:v>Medium</x:v>
      </x:c>
      <x:c r="T362" s="28" t="str">
        <x:f>IF(L362="Done","Green",IF(L362="Blocked","Red",IF(TODAY()&gt;J362,"Red",IF(M362&gt;=0.6,"Yellow","Green"))))</x:f>
        <x:v>Green</x:v>
      </x:c>
      <x:c r="U362" s="28" t="str"/>
    </x:row>
    <x:row r="363">
      <x:c r="A363" s="28" t="str">
        <x:v>SV-09-0361</x:v>
      </x:c>
      <x:c r="B363" s="28" t="str">
        <x:v>Sprint 9</x:v>
      </x:c>
      <x:c r="C363" s="28" t="str">
        <x:v>Month 5</x:v>
      </x:c>
      <x:c r="D363" s="28" t="str">
        <x:v>Frontend Engineer</x:v>
      </x:c>
      <x:c r="E363" s="28" t="str">
        <x:v>Request</x:v>
      </x:c>
      <x:c r="F363" s="28" t="str">
        <x:v>Build VM request form</x:v>
      </x:c>
      <x:c r="G363" s="28" t="str">
        <x:v>Request UI</x:v>
      </x:c>
      <x:c r="H363" s="28" t="str">
        <x:v>Medium</x:v>
      </x:c>
      <x:c r="I363" s="42" t="n">
        <x:f>INDEX('Sprint Plan'!$D$9:$D$20,MATCH(B363,'Sprint Plan'!$A$9:$A$20,0))</x:f>
        <x:v>46330</x:v>
      </x:c>
      <x:c r="J363" s="42" t="n">
        <x:f>INDEX('Sprint Plan'!$E$9:$E$20,MATCH(B363,'Sprint Plan'!$A$9:$A$20,0))</x:f>
        <x:v>46343</x:v>
      </x:c>
      <x:c r="K363" s="28" t="str">
        <x:v>TBD</x:v>
      </x:c>
      <x:c r="L363" s="28" t="str">
        <x:v>Not Started</x:v>
      </x:c>
      <x:c r="M363" s="43" t="n">
        <x:v>0</x:v>
      </x:c>
      <x:c r="N363" s="28" t="n">
        <x:v>1</x:v>
      </x:c>
      <x:c r="O363" s="28" t="str"/>
      <x:c r="P363" s="28" t="str"/>
      <x:c r="Q363" s="28" t="str"/>
      <x:c r="R363" s="28" t="str"/>
      <x:c r="S363" s="28" t="str">
        <x:v>Medium</x:v>
      </x:c>
      <x:c r="T363" s="28" t="str">
        <x:f>IF(L363="Done","Green",IF(L363="Blocked","Red",IF(TODAY()&gt;J363,"Red",IF(M363&gt;=0.6,"Yellow","Green"))))</x:f>
        <x:v>Green</x:v>
      </x:c>
      <x:c r="U363" s="28" t="str"/>
    </x:row>
    <x:row r="364">
      <x:c r="A364" s="28" t="str">
        <x:v>SV-09-0362</x:v>
      </x:c>
      <x:c r="B364" s="28" t="str">
        <x:v>Sprint 9</x:v>
      </x:c>
      <x:c r="C364" s="28" t="str">
        <x:v>Month 5</x:v>
      </x:c>
      <x:c r="D364" s="28" t="str">
        <x:v>Frontend Engineer</x:v>
      </x:c>
      <x:c r="E364" s="28" t="str">
        <x:v>Approval</x:v>
      </x:c>
      <x:c r="F364" s="28" t="str">
        <x:v>Build approval inbox</x:v>
      </x:c>
      <x:c r="G364" s="28" t="str">
        <x:v>Approval UI</x:v>
      </x:c>
      <x:c r="H364" s="28" t="str">
        <x:v>Medium</x:v>
      </x:c>
      <x:c r="I364" s="42" t="n">
        <x:f>INDEX('Sprint Plan'!$D$9:$D$20,MATCH(B364,'Sprint Plan'!$A$9:$A$20,0))</x:f>
        <x:v>46330</x:v>
      </x:c>
      <x:c r="J364" s="42" t="n">
        <x:f>INDEX('Sprint Plan'!$E$9:$E$20,MATCH(B364,'Sprint Plan'!$A$9:$A$20,0))</x:f>
        <x:v>46343</x:v>
      </x:c>
      <x:c r="K364" s="28" t="str">
        <x:v>TBD</x:v>
      </x:c>
      <x:c r="L364" s="28" t="str">
        <x:v>Not Started</x:v>
      </x:c>
      <x:c r="M364" s="43" t="n">
        <x:v>0</x:v>
      </x:c>
      <x:c r="N364" s="28" t="n">
        <x:v>1</x:v>
      </x:c>
      <x:c r="O364" s="28" t="str"/>
      <x:c r="P364" s="28" t="str"/>
      <x:c r="Q364" s="28" t="str"/>
      <x:c r="R364" s="28" t="str"/>
      <x:c r="S364" s="28" t="str">
        <x:v>Medium</x:v>
      </x:c>
      <x:c r="T364" s="28" t="str">
        <x:f>IF(L364="Done","Green",IF(L364="Blocked","Red",IF(TODAY()&gt;J364,"Red",IF(M364&gt;=0.6,"Yellow","Green"))))</x:f>
        <x:v>Green</x:v>
      </x:c>
      <x:c r="U364" s="28" t="str"/>
    </x:row>
    <x:row r="365">
      <x:c r="A365" s="28" t="str">
        <x:v>SV-09-0363</x:v>
      </x:c>
      <x:c r="B365" s="28" t="str">
        <x:v>Sprint 9</x:v>
      </x:c>
      <x:c r="C365" s="28" t="str">
        <x:v>Month 5</x:v>
      </x:c>
      <x:c r="D365" s="28" t="str">
        <x:v>Frontend Engineer</x:v>
      </x:c>
      <x:c r="E365" s="28" t="str">
        <x:v>Usage</x:v>
      </x:c>
      <x:c r="F365" s="28" t="str">
        <x:v>Build usage report and tenant dashboard</x:v>
      </x:c>
      <x:c r="G365" s="28" t="str">
        <x:v>Usage/dashboard UI</x:v>
      </x:c>
      <x:c r="H365" s="28" t="str">
        <x:v>Medium</x:v>
      </x:c>
      <x:c r="I365" s="42" t="n">
        <x:f>INDEX('Sprint Plan'!$D$9:$D$20,MATCH(B365,'Sprint Plan'!$A$9:$A$20,0))</x:f>
        <x:v>46330</x:v>
      </x:c>
      <x:c r="J365" s="42" t="n">
        <x:f>INDEX('Sprint Plan'!$E$9:$E$20,MATCH(B365,'Sprint Plan'!$A$9:$A$20,0))</x:f>
        <x:v>46343</x:v>
      </x:c>
      <x:c r="K365" s="28" t="str">
        <x:v>TBD</x:v>
      </x:c>
      <x:c r="L365" s="28" t="str">
        <x:v>Not Started</x:v>
      </x:c>
      <x:c r="M365" s="43" t="n">
        <x:v>0</x:v>
      </x:c>
      <x:c r="N365" s="28" t="n">
        <x:v>1</x:v>
      </x:c>
      <x:c r="O365" s="28" t="str"/>
      <x:c r="P365" s="28" t="str"/>
      <x:c r="Q365" s="28" t="str"/>
      <x:c r="R365" s="28" t="str"/>
      <x:c r="S365" s="28" t="str">
        <x:v>Medium</x:v>
      </x:c>
      <x:c r="T365" s="28" t="str">
        <x:f>IF(L365="Done","Green",IF(L365="Blocked","Red",IF(TODAY()&gt;J365,"Red",IF(M365&gt;=0.6,"Yellow","Green"))))</x:f>
        <x:v>Green</x:v>
      </x:c>
      <x:c r="U365" s="28" t="str"/>
    </x:row>
    <x:row r="366">
      <x:c r="A366" s="28" t="str">
        <x:v>SV-09-0364</x:v>
      </x:c>
      <x:c r="B366" s="28" t="str">
        <x:v>Sprint 9</x:v>
      </x:c>
      <x:c r="C366" s="28" t="str">
        <x:v>Month 5</x:v>
      </x:c>
      <x:c r="D366" s="28" t="str">
        <x:v>QA/Tester</x:v>
      </x:c>
      <x:c r="E366" s="28" t="str">
        <x:v>Tenant</x:v>
      </x:c>
      <x:c r="F366" s="28" t="str">
        <x:v>Test tenant create</x:v>
      </x:c>
      <x:c r="G366" s="28" t="str">
        <x:v>Tenant test</x:v>
      </x:c>
      <x:c r="H366" s="28" t="str">
        <x:v>Medium</x:v>
      </x:c>
      <x:c r="I366" s="42" t="n">
        <x:f>INDEX('Sprint Plan'!$D$9:$D$20,MATCH(B366,'Sprint Plan'!$A$9:$A$20,0))</x:f>
        <x:v>46330</x:v>
      </x:c>
      <x:c r="J366" s="42" t="n">
        <x:f>INDEX('Sprint Plan'!$E$9:$E$20,MATCH(B366,'Sprint Plan'!$A$9:$A$20,0))</x:f>
        <x:v>46343</x:v>
      </x:c>
      <x:c r="K366" s="28" t="str">
        <x:v>TBD</x:v>
      </x:c>
      <x:c r="L366" s="28" t="str">
        <x:v>Not Started</x:v>
      </x:c>
      <x:c r="M366" s="43" t="n">
        <x:v>0</x:v>
      </x:c>
      <x:c r="N366" s="28" t="n">
        <x:v>1</x:v>
      </x:c>
      <x:c r="O366" s="28" t="str"/>
      <x:c r="P366" s="28" t="str"/>
      <x:c r="Q366" s="28" t="str"/>
      <x:c r="R366" s="28" t="str"/>
      <x:c r="S366" s="28" t="str">
        <x:v>Medium</x:v>
      </x:c>
      <x:c r="T366" s="28" t="str">
        <x:f>IF(L366="Done","Green",IF(L366="Blocked","Red",IF(TODAY()&gt;J366,"Red",IF(M366&gt;=0.6,"Yellow","Green"))))</x:f>
        <x:v>Green</x:v>
      </x:c>
      <x:c r="U366" s="28" t="str"/>
    </x:row>
    <x:row r="367">
      <x:c r="A367" s="28" t="str">
        <x:v>SV-09-0365</x:v>
      </x:c>
      <x:c r="B367" s="28" t="str">
        <x:v>Sprint 9</x:v>
      </x:c>
      <x:c r="C367" s="28" t="str">
        <x:v>Month 5</x:v>
      </x:c>
      <x:c r="D367" s="28" t="str">
        <x:v>QA/Tester</x:v>
      </x:c>
      <x:c r="E367" s="28" t="str">
        <x:v>Quota</x:v>
      </x:c>
      <x:c r="F367" s="28" t="str">
        <x:v>Test quota enforcement</x:v>
      </x:c>
      <x:c r="G367" s="28" t="str">
        <x:v>Quota test</x:v>
      </x:c>
      <x:c r="H367" s="28" t="str">
        <x:v>Medium</x:v>
      </x:c>
      <x:c r="I367" s="42" t="n">
        <x:f>INDEX('Sprint Plan'!$D$9:$D$20,MATCH(B367,'Sprint Plan'!$A$9:$A$20,0))</x:f>
        <x:v>46330</x:v>
      </x:c>
      <x:c r="J367" s="42" t="n">
        <x:f>INDEX('Sprint Plan'!$E$9:$E$20,MATCH(B367,'Sprint Plan'!$A$9:$A$20,0))</x:f>
        <x:v>46343</x:v>
      </x:c>
      <x:c r="K367" s="28" t="str">
        <x:v>TBD</x:v>
      </x:c>
      <x:c r="L367" s="28" t="str">
        <x:v>Not Started</x:v>
      </x:c>
      <x:c r="M367" s="43" t="n">
        <x:v>0</x:v>
      </x:c>
      <x:c r="N367" s="28" t="n">
        <x:v>1</x:v>
      </x:c>
      <x:c r="O367" s="28" t="str"/>
      <x:c r="P367" s="28" t="str"/>
      <x:c r="Q367" s="28" t="str"/>
      <x:c r="R367" s="28" t="str"/>
      <x:c r="S367" s="28" t="str">
        <x:v>Medium</x:v>
      </x:c>
      <x:c r="T367" s="28" t="str">
        <x:f>IF(L367="Done","Green",IF(L367="Blocked","Red",IF(TODAY()&gt;J367,"Red",IF(M367&gt;=0.6,"Yellow","Green"))))</x:f>
        <x:v>Green</x:v>
      </x:c>
      <x:c r="U367" s="28" t="str"/>
    </x:row>
    <x:row r="368">
      <x:c r="A368" s="28" t="str">
        <x:v>SV-09-0366</x:v>
      </x:c>
      <x:c r="B368" s="28" t="str">
        <x:v>Sprint 9</x:v>
      </x:c>
      <x:c r="C368" s="28" t="str">
        <x:v>Month 5</x:v>
      </x:c>
      <x:c r="D368" s="28" t="str">
        <x:v>QA/Tester</x:v>
      </x:c>
      <x:c r="E368" s="28" t="str">
        <x:v>Approval</x:v>
      </x:c>
      <x:c r="F368" s="28" t="str">
        <x:v>Test request approval</x:v>
      </x:c>
      <x:c r="G368" s="28" t="str">
        <x:v>Approval test</x:v>
      </x:c>
      <x:c r="H368" s="28" t="str">
        <x:v>Medium</x:v>
      </x:c>
      <x:c r="I368" s="42" t="n">
        <x:f>INDEX('Sprint Plan'!$D$9:$D$20,MATCH(B368,'Sprint Plan'!$A$9:$A$20,0))</x:f>
        <x:v>46330</x:v>
      </x:c>
      <x:c r="J368" s="42" t="n">
        <x:f>INDEX('Sprint Plan'!$E$9:$E$20,MATCH(B368,'Sprint Plan'!$A$9:$A$20,0))</x:f>
        <x:v>46343</x:v>
      </x:c>
      <x:c r="K368" s="28" t="str">
        <x:v>TBD</x:v>
      </x:c>
      <x:c r="L368" s="28" t="str">
        <x:v>Not Started</x:v>
      </x:c>
      <x:c r="M368" s="43" t="n">
        <x:v>0</x:v>
      </x:c>
      <x:c r="N368" s="28" t="n">
        <x:v>1</x:v>
      </x:c>
      <x:c r="O368" s="28" t="str"/>
      <x:c r="P368" s="28" t="str"/>
      <x:c r="Q368" s="28" t="str"/>
      <x:c r="R368" s="28" t="str"/>
      <x:c r="S368" s="28" t="str">
        <x:v>Medium</x:v>
      </x:c>
      <x:c r="T368" s="28" t="str">
        <x:f>IF(L368="Done","Green",IF(L368="Blocked","Red",IF(TODAY()&gt;J368,"Red",IF(M368&gt;=0.6,"Yellow","Green"))))</x:f>
        <x:v>Green</x:v>
      </x:c>
      <x:c r="U368" s="28" t="str"/>
    </x:row>
    <x:row r="369">
      <x:c r="A369" s="28" t="str">
        <x:v>SV-09-0367</x:v>
      </x:c>
      <x:c r="B369" s="28" t="str">
        <x:v>Sprint 9</x:v>
      </x:c>
      <x:c r="C369" s="28" t="str">
        <x:v>Month 5</x:v>
      </x:c>
      <x:c r="D369" s="28" t="str">
        <x:v>QA/Tester</x:v>
      </x:c>
      <x:c r="E369" s="28" t="str">
        <x:v>Access</x:v>
      </x:c>
      <x:c r="F369" s="28" t="str">
        <x:v>Test tenant access</x:v>
      </x:c>
      <x:c r="G369" s="28" t="str">
        <x:v>Access test</x:v>
      </x:c>
      <x:c r="H369" s="28" t="str">
        <x:v>Medium</x:v>
      </x:c>
      <x:c r="I369" s="42" t="n">
        <x:f>INDEX('Sprint Plan'!$D$9:$D$20,MATCH(B369,'Sprint Plan'!$A$9:$A$20,0))</x:f>
        <x:v>46330</x:v>
      </x:c>
      <x:c r="J369" s="42" t="n">
        <x:f>INDEX('Sprint Plan'!$E$9:$E$20,MATCH(B369,'Sprint Plan'!$A$9:$A$20,0))</x:f>
        <x:v>46343</x:v>
      </x:c>
      <x:c r="K369" s="28" t="str">
        <x:v>TBD</x:v>
      </x:c>
      <x:c r="L369" s="28" t="str">
        <x:v>Not Started</x:v>
      </x:c>
      <x:c r="M369" s="43" t="n">
        <x:v>0</x:v>
      </x:c>
      <x:c r="N369" s="28" t="n">
        <x:v>1</x:v>
      </x:c>
      <x:c r="O369" s="28" t="str"/>
      <x:c r="P369" s="28" t="str"/>
      <x:c r="Q369" s="28" t="str"/>
      <x:c r="R369" s="28" t="str"/>
      <x:c r="S369" s="28" t="str">
        <x:v>Medium</x:v>
      </x:c>
      <x:c r="T369" s="28" t="str">
        <x:f>IF(L369="Done","Green",IF(L369="Blocked","Red",IF(TODAY()&gt;J369,"Red",IF(M369&gt;=0.6,"Yellow","Green"))))</x:f>
        <x:v>Green</x:v>
      </x:c>
      <x:c r="U369" s="28" t="str"/>
    </x:row>
    <x:row r="370">
      <x:c r="A370" s="28" t="str">
        <x:v>SV-09-0368</x:v>
      </x:c>
      <x:c r="B370" s="28" t="str">
        <x:v>Sprint 9</x:v>
      </x:c>
      <x:c r="C370" s="28" t="str">
        <x:v>Month 5</x:v>
      </x:c>
      <x:c r="D370" s="28" t="str">
        <x:v>QA/Tester</x:v>
      </x:c>
      <x:c r="E370" s="28" t="str">
        <x:v>Usage</x:v>
      </x:c>
      <x:c r="F370" s="28" t="str">
        <x:v>Test usage report and role isolation</x:v>
      </x:c>
      <x:c r="G370" s="28" t="str">
        <x:v>Usage/isolation test</x:v>
      </x:c>
      <x:c r="H370" s="28" t="str">
        <x:v>Medium</x:v>
      </x:c>
      <x:c r="I370" s="42" t="n">
        <x:f>INDEX('Sprint Plan'!$D$9:$D$20,MATCH(B370,'Sprint Plan'!$A$9:$A$20,0))</x:f>
        <x:v>46330</x:v>
      </x:c>
      <x:c r="J370" s="42" t="n">
        <x:f>INDEX('Sprint Plan'!$E$9:$E$20,MATCH(B370,'Sprint Plan'!$A$9:$A$20,0))</x:f>
        <x:v>46343</x:v>
      </x:c>
      <x:c r="K370" s="28" t="str">
        <x:v>TBD</x:v>
      </x:c>
      <x:c r="L370" s="28" t="str">
        <x:v>Not Started</x:v>
      </x:c>
      <x:c r="M370" s="43" t="n">
        <x:v>0</x:v>
      </x:c>
      <x:c r="N370" s="28" t="n">
        <x:v>1</x:v>
      </x:c>
      <x:c r="O370" s="28" t="str"/>
      <x:c r="P370" s="28" t="str"/>
      <x:c r="Q370" s="28" t="str"/>
      <x:c r="R370" s="28" t="str"/>
      <x:c r="S370" s="28" t="str">
        <x:v>Medium</x:v>
      </x:c>
      <x:c r="T370" s="28" t="str">
        <x:f>IF(L370="Done","Green",IF(L370="Blocked","Red",IF(TODAY()&gt;J370,"Red",IF(M370&gt;=0.6,"Yellow","Green"))))</x:f>
        <x:v>Green</x:v>
      </x:c>
      <x:c r="U370" s="28" t="str"/>
    </x:row>
    <x:row r="371">
      <x:c r="A371" s="28" t="str">
        <x:v>SV-09-0369</x:v>
      </x:c>
      <x:c r="B371" s="28" t="str">
        <x:v>Sprint 9</x:v>
      </x:c>
      <x:c r="C371" s="28" t="str">
        <x:v>Month 5</x:v>
      </x:c>
      <x:c r="D371" s="28" t="str">
        <x:v>Technical Writer</x:v>
      </x:c>
      <x:c r="E371" s="28" t="str">
        <x:v>Tenant SOP</x:v>
      </x:c>
      <x:c r="F371" s="28" t="str">
        <x:v>SOP tenant management</x:v>
      </x:c>
      <x:c r="G371" s="28" t="str">
        <x:v>SOP</x:v>
      </x:c>
      <x:c r="H371" s="28" t="str">
        <x:v>Medium</x:v>
      </x:c>
      <x:c r="I371" s="42" t="n">
        <x:f>INDEX('Sprint Plan'!$D$9:$D$20,MATCH(B371,'Sprint Plan'!$A$9:$A$20,0))</x:f>
        <x:v>46330</x:v>
      </x:c>
      <x:c r="J371" s="42" t="n">
        <x:f>INDEX('Sprint Plan'!$E$9:$E$20,MATCH(B371,'Sprint Plan'!$A$9:$A$20,0))</x:f>
        <x:v>46343</x:v>
      </x:c>
      <x:c r="K371" s="28" t="str">
        <x:v>TBD</x:v>
      </x:c>
      <x:c r="L371" s="28" t="str">
        <x:v>Not Started</x:v>
      </x:c>
      <x:c r="M371" s="43" t="n">
        <x:v>0</x:v>
      </x:c>
      <x:c r="N371" s="28" t="n">
        <x:v>1</x:v>
      </x:c>
      <x:c r="O371" s="28" t="str"/>
      <x:c r="P371" s="28" t="str"/>
      <x:c r="Q371" s="28" t="str"/>
      <x:c r="R371" s="28" t="str"/>
      <x:c r="S371" s="28" t="str">
        <x:v>Medium</x:v>
      </x:c>
      <x:c r="T371" s="28" t="str">
        <x:f>IF(L371="Done","Green",IF(L371="Blocked","Red",IF(TODAY()&gt;J371,"Red",IF(M371&gt;=0.6,"Yellow","Green"))))</x:f>
        <x:v>Green</x:v>
      </x:c>
      <x:c r="U371" s="28" t="str"/>
    </x:row>
    <x:row r="372">
      <x:c r="A372" s="28" t="str">
        <x:v>SV-09-0370</x:v>
      </x:c>
      <x:c r="B372" s="28" t="str">
        <x:v>Sprint 9</x:v>
      </x:c>
      <x:c r="C372" s="28" t="str">
        <x:v>Month 5</x:v>
      </x:c>
      <x:c r="D372" s="28" t="str">
        <x:v>Technical Writer</x:v>
      </x:c>
      <x:c r="E372" s="28" t="str">
        <x:v>Quota SOP</x:v>
      </x:c>
      <x:c r="F372" s="28" t="str">
        <x:v>SOP quota management</x:v>
      </x:c>
      <x:c r="G372" s="28" t="str">
        <x:v>SOP</x:v>
      </x:c>
      <x:c r="H372" s="28" t="str">
        <x:v>Medium</x:v>
      </x:c>
      <x:c r="I372" s="42" t="n">
        <x:f>INDEX('Sprint Plan'!$D$9:$D$20,MATCH(B372,'Sprint Plan'!$A$9:$A$20,0))</x:f>
        <x:v>46330</x:v>
      </x:c>
      <x:c r="J372" s="42" t="n">
        <x:f>INDEX('Sprint Plan'!$E$9:$E$20,MATCH(B372,'Sprint Plan'!$A$9:$A$20,0))</x:f>
        <x:v>46343</x:v>
      </x:c>
      <x:c r="K372" s="28" t="str">
        <x:v>TBD</x:v>
      </x:c>
      <x:c r="L372" s="28" t="str">
        <x:v>Not Started</x:v>
      </x:c>
      <x:c r="M372" s="43" t="n">
        <x:v>0</x:v>
      </x:c>
      <x:c r="N372" s="28" t="n">
        <x:v>1</x:v>
      </x:c>
      <x:c r="O372" s="28" t="str"/>
      <x:c r="P372" s="28" t="str"/>
      <x:c r="Q372" s="28" t="str"/>
      <x:c r="R372" s="28" t="str"/>
      <x:c r="S372" s="28" t="str">
        <x:v>Medium</x:v>
      </x:c>
      <x:c r="T372" s="28" t="str">
        <x:f>IF(L372="Done","Green",IF(L372="Blocked","Red",IF(TODAY()&gt;J372,"Red",IF(M372&gt;=0.6,"Yellow","Green"))))</x:f>
        <x:v>Green</x:v>
      </x:c>
      <x:c r="U372" s="28" t="str"/>
    </x:row>
    <x:row r="373">
      <x:c r="A373" s="28" t="str">
        <x:v>SV-09-0371</x:v>
      </x:c>
      <x:c r="B373" s="28" t="str">
        <x:v>Sprint 9</x:v>
      </x:c>
      <x:c r="C373" s="28" t="str">
        <x:v>Month 5</x:v>
      </x:c>
      <x:c r="D373" s="28" t="str">
        <x:v>Technical Writer</x:v>
      </x:c>
      <x:c r="E373" s="28" t="str">
        <x:v>Approval SOP</x:v>
      </x:c>
      <x:c r="F373" s="28" t="str">
        <x:v>SOP VM request approval</x:v>
      </x:c>
      <x:c r="G373" s="28" t="str">
        <x:v>SOP</x:v>
      </x:c>
      <x:c r="H373" s="28" t="str">
        <x:v>Medium</x:v>
      </x:c>
      <x:c r="I373" s="42" t="n">
        <x:f>INDEX('Sprint Plan'!$D$9:$D$20,MATCH(B373,'Sprint Plan'!$A$9:$A$20,0))</x:f>
        <x:v>46330</x:v>
      </x:c>
      <x:c r="J373" s="42" t="n">
        <x:f>INDEX('Sprint Plan'!$E$9:$E$20,MATCH(B373,'Sprint Plan'!$A$9:$A$20,0))</x:f>
        <x:v>46343</x:v>
      </x:c>
      <x:c r="K373" s="28" t="str">
        <x:v>TBD</x:v>
      </x:c>
      <x:c r="L373" s="28" t="str">
        <x:v>Not Started</x:v>
      </x:c>
      <x:c r="M373" s="43" t="n">
        <x:v>0</x:v>
      </x:c>
      <x:c r="N373" s="28" t="n">
        <x:v>1</x:v>
      </x:c>
      <x:c r="O373" s="28" t="str"/>
      <x:c r="P373" s="28" t="str"/>
      <x:c r="Q373" s="28" t="str"/>
      <x:c r="R373" s="28" t="str"/>
      <x:c r="S373" s="28" t="str">
        <x:v>Medium</x:v>
      </x:c>
      <x:c r="T373" s="28" t="str">
        <x:f>IF(L373="Done","Green",IF(L373="Blocked","Red",IF(TODAY()&gt;J373,"Red",IF(M373&gt;=0.6,"Yellow","Green"))))</x:f>
        <x:v>Green</x:v>
      </x:c>
      <x:c r="U373" s="28" t="str"/>
    </x:row>
    <x:row r="374">
      <x:c r="A374" s="28" t="str">
        <x:v>SV-09-0372</x:v>
      </x:c>
      <x:c r="B374" s="28" t="str">
        <x:v>Sprint 9</x:v>
      </x:c>
      <x:c r="C374" s="28" t="str">
        <x:v>Month 5</x:v>
      </x:c>
      <x:c r="D374" s="28" t="str">
        <x:v>Technical Writer</x:v>
      </x:c>
      <x:c r="E374" s="28" t="str">
        <x:v>Admin Guide</x:v>
      </x:c>
      <x:c r="F374" s="28" t="str">
        <x:v>Cloud Lite admin guide</x:v>
      </x:c>
      <x:c r="G374" s="28" t="str">
        <x:v>Admin guide</x:v>
      </x:c>
      <x:c r="H374" s="28" t="str">
        <x:v>Medium</x:v>
      </x:c>
      <x:c r="I374" s="42" t="n">
        <x:f>INDEX('Sprint Plan'!$D$9:$D$20,MATCH(B374,'Sprint Plan'!$A$9:$A$20,0))</x:f>
        <x:v>46330</x:v>
      </x:c>
      <x:c r="J374" s="42" t="n">
        <x:f>INDEX('Sprint Plan'!$E$9:$E$20,MATCH(B374,'Sprint Plan'!$A$9:$A$20,0))</x:f>
        <x:v>46343</x:v>
      </x:c>
      <x:c r="K374" s="28" t="str">
        <x:v>TBD</x:v>
      </x:c>
      <x:c r="L374" s="28" t="str">
        <x:v>Not Started</x:v>
      </x:c>
      <x:c r="M374" s="43" t="n">
        <x:v>0</x:v>
      </x:c>
      <x:c r="N374" s="28" t="n">
        <x:v>1</x:v>
      </x:c>
      <x:c r="O374" s="28" t="str"/>
      <x:c r="P374" s="28" t="str"/>
      <x:c r="Q374" s="28" t="str"/>
      <x:c r="R374" s="28" t="str"/>
      <x:c r="S374" s="28" t="str">
        <x:v>Medium</x:v>
      </x:c>
      <x:c r="T374" s="28" t="str">
        <x:f>IF(L374="Done","Green",IF(L374="Blocked","Red",IF(TODAY()&gt;J374,"Red",IF(M374&gt;=0.6,"Yellow","Green"))))</x:f>
        <x:v>Green</x:v>
      </x:c>
      <x:c r="U374" s="28" t="str"/>
    </x:row>
    <x:row r="375">
      <x:c r="A375" s="28" t="str">
        <x:v>SV-09-0373</x:v>
      </x:c>
      <x:c r="B375" s="28" t="str">
        <x:v>Sprint 9</x:v>
      </x:c>
      <x:c r="C375" s="28" t="str">
        <x:v>Month 5</x:v>
      </x:c>
      <x:c r="D375" s="28" t="str">
        <x:v>Sales/Marketing/Presales</x:v>
      </x:c>
      <x:c r="E375" s="28" t="str">
        <x:v>Narrative</x:v>
      </x:c>
      <x:c r="F375" s="28" t="str">
        <x:v>Buat narasi private cloud bertahap</x:v>
      </x:c>
      <x:c r="G375" s="28" t="str">
        <x:v>Sales narrative</x:v>
      </x:c>
      <x:c r="H375" s="28" t="str">
        <x:v>Medium</x:v>
      </x:c>
      <x:c r="I375" s="42" t="n">
        <x:f>INDEX('Sprint Plan'!$D$9:$D$20,MATCH(B375,'Sprint Plan'!$A$9:$A$20,0))</x:f>
        <x:v>46330</x:v>
      </x:c>
      <x:c r="J375" s="42" t="n">
        <x:f>INDEX('Sprint Plan'!$E$9:$E$20,MATCH(B375,'Sprint Plan'!$A$9:$A$20,0))</x:f>
        <x:v>46343</x:v>
      </x:c>
      <x:c r="K375" s="28" t="str">
        <x:v>TBD</x:v>
      </x:c>
      <x:c r="L375" s="28" t="str">
        <x:v>Not Started</x:v>
      </x:c>
      <x:c r="M375" s="43" t="n">
        <x:v>0</x:v>
      </x:c>
      <x:c r="N375" s="28" t="n">
        <x:v>1</x:v>
      </x:c>
      <x:c r="O375" s="28" t="str"/>
      <x:c r="P375" s="28" t="str"/>
      <x:c r="Q375" s="28" t="str"/>
      <x:c r="R375" s="28" t="str"/>
      <x:c r="S375" s="28" t="str">
        <x:v>Medium</x:v>
      </x:c>
      <x:c r="T375" s="28" t="str">
        <x:f>IF(L375="Done","Green",IF(L375="Blocked","Red",IF(TODAY()&gt;J375,"Red",IF(M375&gt;=0.6,"Yellow","Green"))))</x:f>
        <x:v>Green</x:v>
      </x:c>
      <x:c r="U375" s="28" t="str"/>
    </x:row>
    <x:row r="376">
      <x:c r="A376" s="28" t="str">
        <x:v>SV-09-0374</x:v>
      </x:c>
      <x:c r="B376" s="28" t="str">
        <x:v>Sprint 9</x:v>
      </x:c>
      <x:c r="C376" s="28" t="str">
        <x:v>Month 5</x:v>
      </x:c>
      <x:c r="D376" s="28" t="str">
        <x:v>Sales/Marketing/Presales</x:v>
      </x:c>
      <x:c r="E376" s="28" t="str">
        <x:v>Comparison</x:v>
      </x:c>
      <x:c r="F376" s="28" t="str">
        <x:v>Buat comparison Saft Cloud Lite vs Awanio</x:v>
      </x:c>
      <x:c r="G376" s="28" t="str">
        <x:v>Comparison sheet</x:v>
      </x:c>
      <x:c r="H376" s="28" t="str">
        <x:v>Medium</x:v>
      </x:c>
      <x:c r="I376" s="42" t="n">
        <x:f>INDEX('Sprint Plan'!$D$9:$D$20,MATCH(B376,'Sprint Plan'!$A$9:$A$20,0))</x:f>
        <x:v>46330</x:v>
      </x:c>
      <x:c r="J376" s="42" t="n">
        <x:f>INDEX('Sprint Plan'!$E$9:$E$20,MATCH(B376,'Sprint Plan'!$A$9:$A$20,0))</x:f>
        <x:v>46343</x:v>
      </x:c>
      <x:c r="K376" s="28" t="str">
        <x:v>TBD</x:v>
      </x:c>
      <x:c r="L376" s="28" t="str">
        <x:v>Not Started</x:v>
      </x:c>
      <x:c r="M376" s="43" t="n">
        <x:v>0</x:v>
      </x:c>
      <x:c r="N376" s="28" t="n">
        <x:v>1</x:v>
      </x:c>
      <x:c r="O376" s="28" t="str"/>
      <x:c r="P376" s="28" t="str"/>
      <x:c r="Q376" s="28" t="str"/>
      <x:c r="R376" s="28" t="str"/>
      <x:c r="S376" s="28" t="str">
        <x:v>Medium</x:v>
      </x:c>
      <x:c r="T376" s="28" t="str">
        <x:f>IF(L376="Done","Green",IF(L376="Blocked","Red",IF(TODAY()&gt;J376,"Red",IF(M376&gt;=0.6,"Yellow","Green"))))</x:f>
        <x:v>Green</x:v>
      </x:c>
      <x:c r="U376" s="28" t="str"/>
    </x:row>
    <x:row r="377">
      <x:c r="A377" s="28" t="str">
        <x:v>SV-09-0375</x:v>
      </x:c>
      <x:c r="B377" s="28" t="str">
        <x:v>Sprint 9</x:v>
      </x:c>
      <x:c r="C377" s="28" t="str">
        <x:v>Month 5</x:v>
      </x:c>
      <x:c r="D377" s="28" t="str">
        <x:v>Sales/Marketing/Presales</x:v>
      </x:c>
      <x:c r="E377" s="28" t="str">
        <x:v>Brochure</x:v>
      </x:c>
      <x:c r="F377" s="28" t="str">
        <x:v>Buat Cloud Lite brochure</x:v>
      </x:c>
      <x:c r="G377" s="28" t="str">
        <x:v>Brochure</x:v>
      </x:c>
      <x:c r="H377" s="28" t="str">
        <x:v>Medium</x:v>
      </x:c>
      <x:c r="I377" s="42" t="n">
        <x:f>INDEX('Sprint Plan'!$D$9:$D$20,MATCH(B377,'Sprint Plan'!$A$9:$A$20,0))</x:f>
        <x:v>46330</x:v>
      </x:c>
      <x:c r="J377" s="42" t="n">
        <x:f>INDEX('Sprint Plan'!$E$9:$E$20,MATCH(B377,'Sprint Plan'!$A$9:$A$20,0))</x:f>
        <x:v>46343</x:v>
      </x:c>
      <x:c r="K377" s="28" t="str">
        <x:v>TBD</x:v>
      </x:c>
      <x:c r="L377" s="28" t="str">
        <x:v>Not Started</x:v>
      </x:c>
      <x:c r="M377" s="43" t="n">
        <x:v>0</x:v>
      </x:c>
      <x:c r="N377" s="28" t="n">
        <x:v>1</x:v>
      </x:c>
      <x:c r="O377" s="28" t="str"/>
      <x:c r="P377" s="28" t="str"/>
      <x:c r="Q377" s="28" t="str"/>
      <x:c r="R377" s="28" t="str"/>
      <x:c r="S377" s="28" t="str">
        <x:v>Medium</x:v>
      </x:c>
      <x:c r="T377" s="28" t="str">
        <x:f>IF(L377="Done","Green",IF(L377="Blocked","Red",IF(TODAY()&gt;J377,"Red",IF(M377&gt;=0.6,"Yellow","Green"))))</x:f>
        <x:v>Green</x:v>
      </x:c>
      <x:c r="U377" s="28" t="str"/>
    </x:row>
    <x:row r="378">
      <x:c r="A378" s="28" t="str">
        <x:v>SV-09-0376</x:v>
      </x:c>
      <x:c r="B378" s="28" t="str">
        <x:v>Sprint 9</x:v>
      </x:c>
      <x:c r="C378" s="28" t="str">
        <x:v>Month 5</x:v>
      </x:c>
      <x:c r="D378" s="28" t="str">
        <x:v>Sales/Marketing/Presales</x:v>
      </x:c>
      <x:c r="E378" s="28" t="str">
        <x:v>Pricing</x:v>
      </x:c>
      <x:c r="F378" s="28" t="str">
        <x:v>Buat pricing Cloud Lite draft</x:v>
      </x:c>
      <x:c r="G378" s="28" t="str">
        <x:v>Pricing draft</x:v>
      </x:c>
      <x:c r="H378" s="28" t="str">
        <x:v>Medium</x:v>
      </x:c>
      <x:c r="I378" s="42" t="n">
        <x:f>INDEX('Sprint Plan'!$D$9:$D$20,MATCH(B378,'Sprint Plan'!$A$9:$A$20,0))</x:f>
        <x:v>46330</x:v>
      </x:c>
      <x:c r="J378" s="42" t="n">
        <x:f>INDEX('Sprint Plan'!$E$9:$E$20,MATCH(B378,'Sprint Plan'!$A$9:$A$20,0))</x:f>
        <x:v>46343</x:v>
      </x:c>
      <x:c r="K378" s="28" t="str">
        <x:v>TBD</x:v>
      </x:c>
      <x:c r="L378" s="28" t="str">
        <x:v>Not Started</x:v>
      </x:c>
      <x:c r="M378" s="43" t="n">
        <x:v>0</x:v>
      </x:c>
      <x:c r="N378" s="28" t="n">
        <x:v>1</x:v>
      </x:c>
      <x:c r="O378" s="28" t="str"/>
      <x:c r="P378" s="28" t="str"/>
      <x:c r="Q378" s="28" t="str"/>
      <x:c r="R378" s="28" t="str"/>
      <x:c r="S378" s="28" t="str">
        <x:v>Medium</x:v>
      </x:c>
      <x:c r="T378" s="28" t="str">
        <x:f>IF(L378="Done","Green",IF(L378="Blocked","Red",IF(TODAY()&gt;J378,"Red",IF(M378&gt;=0.6,"Yellow","Green"))))</x:f>
        <x:v>Green</x:v>
      </x:c>
      <x:c r="U378" s="28" t="str"/>
    </x:row>
    <x:row r="379">
      <x:c r="A379" s="28" t="str">
        <x:v>SV-09-0377</x:v>
      </x:c>
      <x:c r="B379" s="28" t="str">
        <x:v>Sprint 9</x:v>
      </x:c>
      <x:c r="C379" s="28" t="str">
        <x:v>Month 5</x:v>
      </x:c>
      <x:c r="D379" s="28" t="str">
        <x:v>Sales/Marketing/Presales</x:v>
      </x:c>
      <x:c r="E379" s="28" t="str">
        <x:v>Leads</x:v>
      </x:c>
      <x:c r="F379" s="28" t="str">
        <x:v>Buat target list MSP/data center kecil dan discovery script</x:v>
      </x:c>
      <x:c r="G379" s="28" t="str">
        <x:v>Lead list/script</x:v>
      </x:c>
      <x:c r="H379" s="28" t="str">
        <x:v>Medium</x:v>
      </x:c>
      <x:c r="I379" s="42" t="n">
        <x:f>INDEX('Sprint Plan'!$D$9:$D$20,MATCH(B379,'Sprint Plan'!$A$9:$A$20,0))</x:f>
        <x:v>46330</x:v>
      </x:c>
      <x:c r="J379" s="42" t="n">
        <x:f>INDEX('Sprint Plan'!$E$9:$E$20,MATCH(B379,'Sprint Plan'!$A$9:$A$20,0))</x:f>
        <x:v>46343</x:v>
      </x:c>
      <x:c r="K379" s="28" t="str">
        <x:v>TBD</x:v>
      </x:c>
      <x:c r="L379" s="28" t="str">
        <x:v>Not Started</x:v>
      </x:c>
      <x:c r="M379" s="43" t="n">
        <x:v>0</x:v>
      </x:c>
      <x:c r="N379" s="28" t="n">
        <x:v>1</x:v>
      </x:c>
      <x:c r="O379" s="28" t="str"/>
      <x:c r="P379" s="28" t="str"/>
      <x:c r="Q379" s="28" t="str"/>
      <x:c r="R379" s="28" t="str"/>
      <x:c r="S379" s="28" t="str">
        <x:v>Medium</x:v>
      </x:c>
      <x:c r="T379" s="28" t="str">
        <x:f>IF(L379="Done","Green",IF(L379="Blocked","Red",IF(TODAY()&gt;J379,"Red",IF(M379&gt;=0.6,"Yellow","Green"))))</x:f>
        <x:v>Green</x:v>
      </x:c>
      <x:c r="U379" s="28" t="str"/>
    </x:row>
    <x:row r="380">
      <x:c r="A380" s="28" t="str">
        <x:v>SV-10-0378</x:v>
      </x:c>
      <x:c r="B380" s="28" t="str">
        <x:v>Sprint 10</x:v>
      </x:c>
      <x:c r="C380" s="28" t="str">
        <x:v>Month 6</x:v>
      </x:c>
      <x:c r="D380" s="28" t="str">
        <x:v>Product Owner</x:v>
      </x:c>
      <x:c r="E380" s="28" t="str">
        <x:v>Deployment</x:v>
      </x:c>
      <x:c r="F380" s="28" t="str">
        <x:v>Definisikan deployment mode</x:v>
      </x:c>
      <x:c r="G380" s="28" t="str">
        <x:v>Deployment package</x:v>
      </x:c>
      <x:c r="H380" s="28" t="str">
        <x:v>Critical</x:v>
      </x:c>
      <x:c r="I380" s="42" t="n">
        <x:f>INDEX('Sprint Plan'!$D$9:$D$20,MATCH(B380,'Sprint Plan'!$A$9:$A$20,0))</x:f>
        <x:v>46344</x:v>
      </x:c>
      <x:c r="J380" s="42" t="n">
        <x:f>INDEX('Sprint Plan'!$E$9:$E$20,MATCH(B380,'Sprint Plan'!$A$9:$A$20,0))</x:f>
        <x:v>46357</x:v>
      </x:c>
      <x:c r="K380" s="28" t="str">
        <x:v>TBD</x:v>
      </x:c>
      <x:c r="L380" s="28" t="str">
        <x:v>Not Started</x:v>
      </x:c>
      <x:c r="M380" s="43" t="n">
        <x:v>0</x:v>
      </x:c>
      <x:c r="N380" s="28" t="n">
        <x:v>1</x:v>
      </x:c>
      <x:c r="O380" s="28" t="str"/>
      <x:c r="P380" s="28" t="str"/>
      <x:c r="Q380" s="28" t="str"/>
      <x:c r="R380" s="28" t="str"/>
      <x:c r="S380" s="28" t="str">
        <x:v>High</x:v>
      </x:c>
      <x:c r="T380" s="28" t="str">
        <x:f>IF(L380="Done","Green",IF(L380="Blocked","Red",IF(TODAY()&gt;J380,"Red",IF(M380&gt;=0.6,"Yellow","Green"))))</x:f>
        <x:v>Green</x:v>
      </x:c>
      <x:c r="U380" s="28" t="str"/>
    </x:row>
    <x:row r="381">
      <x:c r="A381" s="28" t="str">
        <x:v>SV-10-0379</x:v>
      </x:c>
      <x:c r="B381" s="28" t="str">
        <x:v>Sprint 10</x:v>
      </x:c>
      <x:c r="C381" s="28" t="str">
        <x:v>Month 6</x:v>
      </x:c>
      <x:c r="D381" s="28" t="str">
        <x:v>Product Owner</x:v>
      </x:c>
      <x:c r="E381" s="28" t="str">
        <x:v>Installer</x:v>
      </x:c>
      <x:c r="F381" s="28" t="str">
        <x:v>Definisikan installer requirement</x:v>
      </x:c>
      <x:c r="G381" s="28" t="str">
        <x:v>Installer spec</x:v>
      </x:c>
      <x:c r="H381" s="28" t="str">
        <x:v>Critical</x:v>
      </x:c>
      <x:c r="I381" s="42" t="n">
        <x:f>INDEX('Sprint Plan'!$D$9:$D$20,MATCH(B381,'Sprint Plan'!$A$9:$A$20,0))</x:f>
        <x:v>46344</x:v>
      </x:c>
      <x:c r="J381" s="42" t="n">
        <x:f>INDEX('Sprint Plan'!$E$9:$E$20,MATCH(B381,'Sprint Plan'!$A$9:$A$20,0))</x:f>
        <x:v>46357</x:v>
      </x:c>
      <x:c r="K381" s="28" t="str">
        <x:v>TBD</x:v>
      </x:c>
      <x:c r="L381" s="28" t="str">
        <x:v>Not Started</x:v>
      </x:c>
      <x:c r="M381" s="43" t="n">
        <x:v>0</x:v>
      </x:c>
      <x:c r="N381" s="28" t="n">
        <x:v>1</x:v>
      </x:c>
      <x:c r="O381" s="28" t="str"/>
      <x:c r="P381" s="28" t="str"/>
      <x:c r="Q381" s="28" t="str"/>
      <x:c r="R381" s="28" t="str"/>
      <x:c r="S381" s="28" t="str">
        <x:v>High</x:v>
      </x:c>
      <x:c r="T381" s="28" t="str">
        <x:f>IF(L381="Done","Green",IF(L381="Blocked","Red",IF(TODAY()&gt;J381,"Red",IF(M381&gt;=0.6,"Yellow","Green"))))</x:f>
        <x:v>Green</x:v>
      </x:c>
      <x:c r="U381" s="28" t="str"/>
    </x:row>
    <x:row r="382">
      <x:c r="A382" s="28" t="str">
        <x:v>SV-10-0380</x:v>
      </x:c>
      <x:c r="B382" s="28" t="str">
        <x:v>Sprint 10</x:v>
      </x:c>
      <x:c r="C382" s="28" t="str">
        <x:v>Month 6</x:v>
      </x:c>
      <x:c r="D382" s="28" t="str">
        <x:v>Product Owner</x:v>
      </x:c>
      <x:c r="E382" s="28" t="str">
        <x:v>Package</x:v>
      </x:c>
      <x:c r="F382" s="28" t="str">
        <x:v>Definisikan POC package content</x:v>
      </x:c>
      <x:c r="G382" s="28" t="str">
        <x:v>POC package</x:v>
      </x:c>
      <x:c r="H382" s="28" t="str">
        <x:v>Critical</x:v>
      </x:c>
      <x:c r="I382" s="42" t="n">
        <x:f>INDEX('Sprint Plan'!$D$9:$D$20,MATCH(B382,'Sprint Plan'!$A$9:$A$20,0))</x:f>
        <x:v>46344</x:v>
      </x:c>
      <x:c r="J382" s="42" t="n">
        <x:f>INDEX('Sprint Plan'!$E$9:$E$20,MATCH(B382,'Sprint Plan'!$A$9:$A$20,0))</x:f>
        <x:v>46357</x:v>
      </x:c>
      <x:c r="K382" s="28" t="str">
        <x:v>TBD</x:v>
      </x:c>
      <x:c r="L382" s="28" t="str">
        <x:v>Not Started</x:v>
      </x:c>
      <x:c r="M382" s="43" t="n">
        <x:v>0</x:v>
      </x:c>
      <x:c r="N382" s="28" t="n">
        <x:v>1</x:v>
      </x:c>
      <x:c r="O382" s="28" t="str"/>
      <x:c r="P382" s="28" t="str"/>
      <x:c r="Q382" s="28" t="str"/>
      <x:c r="R382" s="28" t="str"/>
      <x:c r="S382" s="28" t="str">
        <x:v>High</x:v>
      </x:c>
      <x:c r="T382" s="28" t="str">
        <x:f>IF(L382="Done","Green",IF(L382="Blocked","Red",IF(TODAY()&gt;J382,"Red",IF(M382&gt;=0.6,"Yellow","Green"))))</x:f>
        <x:v>Green</x:v>
      </x:c>
      <x:c r="U382" s="28" t="str"/>
    </x:row>
    <x:row r="383">
      <x:c r="A383" s="28" t="str">
        <x:v>SV-10-0381</x:v>
      </x:c>
      <x:c r="B383" s="28" t="str">
        <x:v>Sprint 10</x:v>
      </x:c>
      <x:c r="C383" s="28" t="str">
        <x:v>Month 6</x:v>
      </x:c>
      <x:c r="D383" s="28" t="str">
        <x:v>Product Owner</x:v>
      </x:c>
      <x:c r="E383" s="28" t="str">
        <x:v>Handover</x:v>
      </x:c>
      <x:c r="F383" s="28" t="str">
        <x:v>Definisikan customer handover checklist</x:v>
      </x:c>
      <x:c r="G383" s="28" t="str">
        <x:v>Handover checklist</x:v>
      </x:c>
      <x:c r="H383" s="28" t="str">
        <x:v>Critical</x:v>
      </x:c>
      <x:c r="I383" s="42" t="n">
        <x:f>INDEX('Sprint Plan'!$D$9:$D$20,MATCH(B383,'Sprint Plan'!$A$9:$A$20,0))</x:f>
        <x:v>46344</x:v>
      </x:c>
      <x:c r="J383" s="42" t="n">
        <x:f>INDEX('Sprint Plan'!$E$9:$E$20,MATCH(B383,'Sprint Plan'!$A$9:$A$20,0))</x:f>
        <x:v>46357</x:v>
      </x:c>
      <x:c r="K383" s="28" t="str">
        <x:v>TBD</x:v>
      </x:c>
      <x:c r="L383" s="28" t="str">
        <x:v>Not Started</x:v>
      </x:c>
      <x:c r="M383" s="43" t="n">
        <x:v>0</x:v>
      </x:c>
      <x:c r="N383" s="28" t="n">
        <x:v>1</x:v>
      </x:c>
      <x:c r="O383" s="28" t="str"/>
      <x:c r="P383" s="28" t="str"/>
      <x:c r="Q383" s="28" t="str"/>
      <x:c r="R383" s="28" t="str"/>
      <x:c r="S383" s="28" t="str">
        <x:v>High</x:v>
      </x:c>
      <x:c r="T383" s="28" t="str">
        <x:f>IF(L383="Done","Green",IF(L383="Blocked","Red",IF(TODAY()&gt;J383,"Red",IF(M383&gt;=0.6,"Yellow","Green"))))</x:f>
        <x:v>Green</x:v>
      </x:c>
      <x:c r="U383" s="28" t="str"/>
    </x:row>
    <x:row r="384">
      <x:c r="A384" s="28" t="str">
        <x:v>SV-10-0382</x:v>
      </x:c>
      <x:c r="B384" s="28" t="str">
        <x:v>Sprint 10</x:v>
      </x:c>
      <x:c r="C384" s="28" t="str">
        <x:v>Month 6</x:v>
      </x:c>
      <x:c r="D384" s="28" t="str">
        <x:v>Solution Architect</x:v>
      </x:c>
      <x:c r="E384" s="28" t="str">
        <x:v>Installer Arch</x:v>
      </x:c>
      <x:c r="F384" s="28" t="str">
        <x:v>Desain installer architecture</x:v>
      </x:c>
      <x:c r="G384" s="28" t="str">
        <x:v>Installer design</x:v>
      </x:c>
      <x:c r="H384" s="28" t="str">
        <x:v>Critical</x:v>
      </x:c>
      <x:c r="I384" s="42" t="n">
        <x:f>INDEX('Sprint Plan'!$D$9:$D$20,MATCH(B384,'Sprint Plan'!$A$9:$A$20,0))</x:f>
        <x:v>46344</x:v>
      </x:c>
      <x:c r="J384" s="42" t="n">
        <x:f>INDEX('Sprint Plan'!$E$9:$E$20,MATCH(B384,'Sprint Plan'!$A$9:$A$20,0))</x:f>
        <x:v>46357</x:v>
      </x:c>
      <x:c r="K384" s="28" t="str">
        <x:v>TBD</x:v>
      </x:c>
      <x:c r="L384" s="28" t="str">
        <x:v>Not Started</x:v>
      </x:c>
      <x:c r="M384" s="43" t="n">
        <x:v>0</x:v>
      </x:c>
      <x:c r="N384" s="28" t="n">
        <x:v>1</x:v>
      </x:c>
      <x:c r="O384" s="28" t="str"/>
      <x:c r="P384" s="28" t="str"/>
      <x:c r="Q384" s="28" t="str"/>
      <x:c r="R384" s="28" t="str"/>
      <x:c r="S384" s="28" t="str">
        <x:v>High</x:v>
      </x:c>
      <x:c r="T384" s="28" t="str">
        <x:f>IF(L384="Done","Green",IF(L384="Blocked","Red",IF(TODAY()&gt;J384,"Red",IF(M384&gt;=0.6,"Yellow","Green"))))</x:f>
        <x:v>Green</x:v>
      </x:c>
      <x:c r="U384" s="28" t="str"/>
    </x:row>
    <x:row r="385">
      <x:c r="A385" s="28" t="str">
        <x:v>SV-10-0383</x:v>
      </x:c>
      <x:c r="B385" s="28" t="str">
        <x:v>Sprint 10</x:v>
      </x:c>
      <x:c r="C385" s="28" t="str">
        <x:v>Month 6</x:v>
      </x:c>
      <x:c r="D385" s="28" t="str">
        <x:v>Solution Architect</x:v>
      </x:c>
      <x:c r="E385" s="28" t="str">
        <x:v>Topology</x:v>
      </x:c>
      <x:c r="F385" s="28" t="str">
        <x:v>Desain deployment topology options</x:v>
      </x:c>
      <x:c r="G385" s="28" t="str">
        <x:v>Topology options</x:v>
      </x:c>
      <x:c r="H385" s="28" t="str">
        <x:v>Critical</x:v>
      </x:c>
      <x:c r="I385" s="42" t="n">
        <x:f>INDEX('Sprint Plan'!$D$9:$D$20,MATCH(B385,'Sprint Plan'!$A$9:$A$20,0))</x:f>
        <x:v>46344</x:v>
      </x:c>
      <x:c r="J385" s="42" t="n">
        <x:f>INDEX('Sprint Plan'!$E$9:$E$20,MATCH(B385,'Sprint Plan'!$A$9:$A$20,0))</x:f>
        <x:v>46357</x:v>
      </x:c>
      <x:c r="K385" s="28" t="str">
        <x:v>TBD</x:v>
      </x:c>
      <x:c r="L385" s="28" t="str">
        <x:v>Not Started</x:v>
      </x:c>
      <x:c r="M385" s="43" t="n">
        <x:v>0</x:v>
      </x:c>
      <x:c r="N385" s="28" t="n">
        <x:v>1</x:v>
      </x:c>
      <x:c r="O385" s="28" t="str"/>
      <x:c r="P385" s="28" t="str"/>
      <x:c r="Q385" s="28" t="str"/>
      <x:c r="R385" s="28" t="str"/>
      <x:c r="S385" s="28" t="str">
        <x:v>High</x:v>
      </x:c>
      <x:c r="T385" s="28" t="str">
        <x:f>IF(L385="Done","Green",IF(L385="Blocked","Red",IF(TODAY()&gt;J385,"Red",IF(M385&gt;=0.6,"Yellow","Green"))))</x:f>
        <x:v>Green</x:v>
      </x:c>
      <x:c r="U385" s="28" t="str"/>
    </x:row>
    <x:row r="386">
      <x:c r="A386" s="28" t="str">
        <x:v>SV-10-0384</x:v>
      </x:c>
      <x:c r="B386" s="28" t="str">
        <x:v>Sprint 10</x:v>
      </x:c>
      <x:c r="C386" s="28" t="str">
        <x:v>Month 6</x:v>
      </x:c>
      <x:c r="D386" s="28" t="str">
        <x:v>Solution Architect</x:v>
      </x:c>
      <x:c r="E386" s="28" t="str">
        <x:v>Backup Setup</x:v>
      </x:c>
      <x:c r="F386" s="28" t="str">
        <x:v>Desain backup repository setup</x:v>
      </x:c>
      <x:c r="G386" s="28" t="str">
        <x:v>Backup setup</x:v>
      </x:c>
      <x:c r="H386" s="28" t="str">
        <x:v>Critical</x:v>
      </x:c>
      <x:c r="I386" s="42" t="n">
        <x:f>INDEX('Sprint Plan'!$D$9:$D$20,MATCH(B386,'Sprint Plan'!$A$9:$A$20,0))</x:f>
        <x:v>46344</x:v>
      </x:c>
      <x:c r="J386" s="42" t="n">
        <x:f>INDEX('Sprint Plan'!$E$9:$E$20,MATCH(B386,'Sprint Plan'!$A$9:$A$20,0))</x:f>
        <x:v>46357</x:v>
      </x:c>
      <x:c r="K386" s="28" t="str">
        <x:v>TBD</x:v>
      </x:c>
      <x:c r="L386" s="28" t="str">
        <x:v>Not Started</x:v>
      </x:c>
      <x:c r="M386" s="43" t="n">
        <x:v>0</x:v>
      </x:c>
      <x:c r="N386" s="28" t="n">
        <x:v>1</x:v>
      </x:c>
      <x:c r="O386" s="28" t="str"/>
      <x:c r="P386" s="28" t="str"/>
      <x:c r="Q386" s="28" t="str"/>
      <x:c r="R386" s="28" t="str"/>
      <x:c r="S386" s="28" t="str">
        <x:v>High</x:v>
      </x:c>
      <x:c r="T386" s="28" t="str">
        <x:f>IF(L386="Done","Green",IF(L386="Blocked","Red",IF(TODAY()&gt;J386,"Red",IF(M386&gt;=0.6,"Yellow","Green"))))</x:f>
        <x:v>Green</x:v>
      </x:c>
      <x:c r="U386" s="28" t="str"/>
    </x:row>
    <x:row r="387">
      <x:c r="A387" s="28" t="str">
        <x:v>SV-10-0385</x:v>
      </x:c>
      <x:c r="B387" s="28" t="str">
        <x:v>Sprint 10</x:v>
      </x:c>
      <x:c r="C387" s="28" t="str">
        <x:v>Month 6</x:v>
      </x:c>
      <x:c r="D387" s="28" t="str">
        <x:v>Solution Architect</x:v>
      </x:c>
      <x:c r="E387" s="28" t="str">
        <x:v>Upgrade</x:v>
      </x:c>
      <x:c r="F387" s="28" t="str">
        <x:v>Review upgrade path awal</x:v>
      </x:c>
      <x:c r="G387" s="28" t="str">
        <x:v>Upgrade note</x:v>
      </x:c>
      <x:c r="H387" s="28" t="str">
        <x:v>Critical</x:v>
      </x:c>
      <x:c r="I387" s="42" t="n">
        <x:f>INDEX('Sprint Plan'!$D$9:$D$20,MATCH(B387,'Sprint Plan'!$A$9:$A$20,0))</x:f>
        <x:v>46344</x:v>
      </x:c>
      <x:c r="J387" s="42" t="n">
        <x:f>INDEX('Sprint Plan'!$E$9:$E$20,MATCH(B387,'Sprint Plan'!$A$9:$A$20,0))</x:f>
        <x:v>46357</x:v>
      </x:c>
      <x:c r="K387" s="28" t="str">
        <x:v>TBD</x:v>
      </x:c>
      <x:c r="L387" s="28" t="str">
        <x:v>Not Started</x:v>
      </x:c>
      <x:c r="M387" s="43" t="n">
        <x:v>0</x:v>
      </x:c>
      <x:c r="N387" s="28" t="n">
        <x:v>1</x:v>
      </x:c>
      <x:c r="O387" s="28" t="str"/>
      <x:c r="P387" s="28" t="str"/>
      <x:c r="Q387" s="28" t="str"/>
      <x:c r="R387" s="28" t="str"/>
      <x:c r="S387" s="28" t="str">
        <x:v>High</x:v>
      </x:c>
      <x:c r="T387" s="28" t="str">
        <x:f>IF(L387="Done","Green",IF(L387="Blocked","Red",IF(TODAY()&gt;J387,"Red",IF(M387&gt;=0.6,"Yellow","Green"))))</x:f>
        <x:v>Green</x:v>
      </x:c>
      <x:c r="U387" s="28" t="str"/>
    </x:row>
    <x:row r="388">
      <x:c r="A388" s="28" t="str">
        <x:v>SV-10-0386</x:v>
      </x:c>
      <x:c r="B388" s="28" t="str">
        <x:v>Sprint 10</x:v>
      </x:c>
      <x:c r="C388" s="28" t="str">
        <x:v>Month 6</x:v>
      </x:c>
      <x:c r="D388" s="28" t="str">
        <x:v>Solution Architect</x:v>
      </x:c>
      <x:c r="E388" s="28" t="str">
        <x:v>Hardening</x:v>
      </x:c>
      <x:c r="F388" s="28" t="str">
        <x:v>Review security hardening baseline</x:v>
      </x:c>
      <x:c r="G388" s="28" t="str">
        <x:v>Hardening checklist</x:v>
      </x:c>
      <x:c r="H388" s="28" t="str">
        <x:v>Critical</x:v>
      </x:c>
      <x:c r="I388" s="42" t="n">
        <x:f>INDEX('Sprint Plan'!$D$9:$D$20,MATCH(B388,'Sprint Plan'!$A$9:$A$20,0))</x:f>
        <x:v>46344</x:v>
      </x:c>
      <x:c r="J388" s="42" t="n">
        <x:f>INDEX('Sprint Plan'!$E$9:$E$20,MATCH(B388,'Sprint Plan'!$A$9:$A$20,0))</x:f>
        <x:v>46357</x:v>
      </x:c>
      <x:c r="K388" s="28" t="str">
        <x:v>TBD</x:v>
      </x:c>
      <x:c r="L388" s="28" t="str">
        <x:v>Not Started</x:v>
      </x:c>
      <x:c r="M388" s="43" t="n">
        <x:v>0</x:v>
      </x:c>
      <x:c r="N388" s="28" t="n">
        <x:v>1</x:v>
      </x:c>
      <x:c r="O388" s="28" t="str"/>
      <x:c r="P388" s="28" t="str"/>
      <x:c r="Q388" s="28" t="str"/>
      <x:c r="R388" s="28" t="str"/>
      <x:c r="S388" s="28" t="str">
        <x:v>High</x:v>
      </x:c>
      <x:c r="T388" s="28" t="str">
        <x:f>IF(L388="Done","Green",IF(L388="Blocked","Red",IF(TODAY()&gt;J388,"Red",IF(M388&gt;=0.6,"Yellow","Green"))))</x:f>
        <x:v>Green</x:v>
      </x:c>
      <x:c r="U388" s="28" t="str"/>
    </x:row>
    <x:row r="389">
      <x:c r="A389" s="28" t="str">
        <x:v>SV-10-0387</x:v>
      </x:c>
      <x:c r="B389" s="28" t="str">
        <x:v>Sprint 10</x:v>
      </x:c>
      <x:c r="C389" s="28" t="str">
        <x:v>Month 6</x:v>
      </x:c>
      <x:c r="D389" s="28" t="str">
        <x:v>Infra/OpenNebula Engineer</x:v>
      </x:c>
      <x:c r="E389" s="28" t="str">
        <x:v>Controller Installer</x:v>
      </x:c>
      <x:c r="F389" s="28" t="str">
        <x:v>Buat controller installer script</x:v>
      </x:c>
      <x:c r="G389" s="28" t="str">
        <x:v>Installer script</x:v>
      </x:c>
      <x:c r="H389" s="28" t="str">
        <x:v>Critical</x:v>
      </x:c>
      <x:c r="I389" s="42" t="n">
        <x:f>INDEX('Sprint Plan'!$D$9:$D$20,MATCH(B389,'Sprint Plan'!$A$9:$A$20,0))</x:f>
        <x:v>46344</x:v>
      </x:c>
      <x:c r="J389" s="42" t="n">
        <x:f>INDEX('Sprint Plan'!$E$9:$E$20,MATCH(B389,'Sprint Plan'!$A$9:$A$20,0))</x:f>
        <x:v>46357</x:v>
      </x:c>
      <x:c r="K389" s="28" t="str">
        <x:v>TBD</x:v>
      </x:c>
      <x:c r="L389" s="28" t="str">
        <x:v>Not Started</x:v>
      </x:c>
      <x:c r="M389" s="43" t="n">
        <x:v>0</x:v>
      </x:c>
      <x:c r="N389" s="28" t="n">
        <x:v>1</x:v>
      </x:c>
      <x:c r="O389" s="28" t="str"/>
      <x:c r="P389" s="28" t="str"/>
      <x:c r="Q389" s="28" t="str"/>
      <x:c r="R389" s="28" t="str"/>
      <x:c r="S389" s="28" t="str">
        <x:v>High</x:v>
      </x:c>
      <x:c r="T389" s="28" t="str">
        <x:f>IF(L389="Done","Green",IF(L389="Blocked","Red",IF(TODAY()&gt;J389,"Red",IF(M389&gt;=0.6,"Yellow","Green"))))</x:f>
        <x:v>Green</x:v>
      </x:c>
      <x:c r="U389" s="28" t="str"/>
    </x:row>
    <x:row r="390">
      <x:c r="A390" s="28" t="str">
        <x:v>SV-10-0388</x:v>
      </x:c>
      <x:c r="B390" s="28" t="str">
        <x:v>Sprint 10</x:v>
      </x:c>
      <x:c r="C390" s="28" t="str">
        <x:v>Month 6</x:v>
      </x:c>
      <x:c r="D390" s="28" t="str">
        <x:v>Infra/OpenNebula Engineer</x:v>
      </x:c>
      <x:c r="E390" s="28" t="str">
        <x:v>Host Installer</x:v>
      </x:c>
      <x:c r="F390" s="28" t="str">
        <x:v>Buat compute host installer script</x:v>
      </x:c>
      <x:c r="G390" s="28" t="str">
        <x:v>Host installer</x:v>
      </x:c>
      <x:c r="H390" s="28" t="str">
        <x:v>Critical</x:v>
      </x:c>
      <x:c r="I390" s="42" t="n">
        <x:f>INDEX('Sprint Plan'!$D$9:$D$20,MATCH(B390,'Sprint Plan'!$A$9:$A$20,0))</x:f>
        <x:v>46344</x:v>
      </x:c>
      <x:c r="J390" s="42" t="n">
        <x:f>INDEX('Sprint Plan'!$E$9:$E$20,MATCH(B390,'Sprint Plan'!$A$9:$A$20,0))</x:f>
        <x:v>46357</x:v>
      </x:c>
      <x:c r="K390" s="28" t="str">
        <x:v>TBD</x:v>
      </x:c>
      <x:c r="L390" s="28" t="str">
        <x:v>Not Started</x:v>
      </x:c>
      <x:c r="M390" s="43" t="n">
        <x:v>0</x:v>
      </x:c>
      <x:c r="N390" s="28" t="n">
        <x:v>1</x:v>
      </x:c>
      <x:c r="O390" s="28" t="str"/>
      <x:c r="P390" s="28" t="str"/>
      <x:c r="Q390" s="28" t="str"/>
      <x:c r="R390" s="28" t="str"/>
      <x:c r="S390" s="28" t="str">
        <x:v>High</x:v>
      </x:c>
      <x:c r="T390" s="28" t="str">
        <x:f>IF(L390="Done","Green",IF(L390="Blocked","Red",IF(TODAY()&gt;J390,"Red",IF(M390&gt;=0.6,"Yellow","Green"))))</x:f>
        <x:v>Green</x:v>
      </x:c>
      <x:c r="U390" s="28" t="str"/>
    </x:row>
    <x:row r="391">
      <x:c r="A391" s="28" t="str">
        <x:v>SV-10-0389</x:v>
      </x:c>
      <x:c r="B391" s="28" t="str">
        <x:v>Sprint 10</x:v>
      </x:c>
      <x:c r="C391" s="28" t="str">
        <x:v>Month 6</x:v>
      </x:c>
      <x:c r="D391" s="28" t="str">
        <x:v>Infra/OpenNebula Engineer</x:v>
      </x:c>
      <x:c r="E391" s="28" t="str">
        <x:v>Backup Script</x:v>
      </x:c>
      <x:c r="F391" s="28" t="str">
        <x:v>Buat backup repo setup script</x:v>
      </x:c>
      <x:c r="G391" s="28" t="str">
        <x:v>Backup script</x:v>
      </x:c>
      <x:c r="H391" s="28" t="str">
        <x:v>Critical</x:v>
      </x:c>
      <x:c r="I391" s="42" t="n">
        <x:f>INDEX('Sprint Plan'!$D$9:$D$20,MATCH(B391,'Sprint Plan'!$A$9:$A$20,0))</x:f>
        <x:v>46344</x:v>
      </x:c>
      <x:c r="J391" s="42" t="n">
        <x:f>INDEX('Sprint Plan'!$E$9:$E$20,MATCH(B391,'Sprint Plan'!$A$9:$A$20,0))</x:f>
        <x:v>46357</x:v>
      </x:c>
      <x:c r="K391" s="28" t="str">
        <x:v>TBD</x:v>
      </x:c>
      <x:c r="L391" s="28" t="str">
        <x:v>Not Started</x:v>
      </x:c>
      <x:c r="M391" s="43" t="n">
        <x:v>0</x:v>
      </x:c>
      <x:c r="N391" s="28" t="n">
        <x:v>1</x:v>
      </x:c>
      <x:c r="O391" s="28" t="str"/>
      <x:c r="P391" s="28" t="str"/>
      <x:c r="Q391" s="28" t="str"/>
      <x:c r="R391" s="28" t="str"/>
      <x:c r="S391" s="28" t="str">
        <x:v>High</x:v>
      </x:c>
      <x:c r="T391" s="28" t="str">
        <x:f>IF(L391="Done","Green",IF(L391="Blocked","Red",IF(TODAY()&gt;J391,"Red",IF(M391&gt;=0.6,"Yellow","Green"))))</x:f>
        <x:v>Green</x:v>
      </x:c>
      <x:c r="U391" s="28" t="str"/>
    </x:row>
    <x:row r="392">
      <x:c r="A392" s="28" t="str">
        <x:v>SV-10-0390</x:v>
      </x:c>
      <x:c r="B392" s="28" t="str">
        <x:v>Sprint 10</x:v>
      </x:c>
      <x:c r="C392" s="28" t="str">
        <x:v>Month 6</x:v>
      </x:c>
      <x:c r="D392" s="28" t="str">
        <x:v>Infra/OpenNebula Engineer</x:v>
      </x:c>
      <x:c r="E392" s="28" t="str">
        <x:v>Health Check</x:v>
      </x:c>
      <x:c r="F392" s="28" t="str">
        <x:v>Buat health check script</x:v>
      </x:c>
      <x:c r="G392" s="28" t="str">
        <x:v>Health check</x:v>
      </x:c>
      <x:c r="H392" s="28" t="str">
        <x:v>Critical</x:v>
      </x:c>
      <x:c r="I392" s="42" t="n">
        <x:f>INDEX('Sprint Plan'!$D$9:$D$20,MATCH(B392,'Sprint Plan'!$A$9:$A$20,0))</x:f>
        <x:v>46344</x:v>
      </x:c>
      <x:c r="J392" s="42" t="n">
        <x:f>INDEX('Sprint Plan'!$E$9:$E$20,MATCH(B392,'Sprint Plan'!$A$9:$A$20,0))</x:f>
        <x:v>46357</x:v>
      </x:c>
      <x:c r="K392" s="28" t="str">
        <x:v>TBD</x:v>
      </x:c>
      <x:c r="L392" s="28" t="str">
        <x:v>Not Started</x:v>
      </x:c>
      <x:c r="M392" s="43" t="n">
        <x:v>0</x:v>
      </x:c>
      <x:c r="N392" s="28" t="n">
        <x:v>1</x:v>
      </x:c>
      <x:c r="O392" s="28" t="str"/>
      <x:c r="P392" s="28" t="str"/>
      <x:c r="Q392" s="28" t="str"/>
      <x:c r="R392" s="28" t="str"/>
      <x:c r="S392" s="28" t="str">
        <x:v>High</x:v>
      </x:c>
      <x:c r="T392" s="28" t="str">
        <x:f>IF(L392="Done","Green",IF(L392="Blocked","Red",IF(TODAY()&gt;J392,"Red",IF(M392&gt;=0.6,"Yellow","Green"))))</x:f>
        <x:v>Green</x:v>
      </x:c>
      <x:c r="U392" s="28" t="str"/>
    </x:row>
    <x:row r="393">
      <x:c r="A393" s="28" t="str">
        <x:v>SV-10-0391</x:v>
      </x:c>
      <x:c r="B393" s="28" t="str">
        <x:v>Sprint 10</x:v>
      </x:c>
      <x:c r="C393" s="28" t="str">
        <x:v>Month 6</x:v>
      </x:c>
      <x:c r="D393" s="28" t="str">
        <x:v>Infra/OpenNebula Engineer</x:v>
      </x:c>
      <x:c r="E393" s="28" t="str">
        <x:v>Install Test</x:v>
      </x:c>
      <x:c r="F393" s="28" t="str">
        <x:v>Test fresh install dan reinstall/recovery</x:v>
      </x:c>
      <x:c r="G393" s="28" t="str">
        <x:v>Install/recovery test</x:v>
      </x:c>
      <x:c r="H393" s="28" t="str">
        <x:v>Critical</x:v>
      </x:c>
      <x:c r="I393" s="42" t="n">
        <x:f>INDEX('Sprint Plan'!$D$9:$D$20,MATCH(B393,'Sprint Plan'!$A$9:$A$20,0))</x:f>
        <x:v>46344</x:v>
      </x:c>
      <x:c r="J393" s="42" t="n">
        <x:f>INDEX('Sprint Plan'!$E$9:$E$20,MATCH(B393,'Sprint Plan'!$A$9:$A$20,0))</x:f>
        <x:v>46357</x:v>
      </x:c>
      <x:c r="K393" s="28" t="str">
        <x:v>TBD</x:v>
      </x:c>
      <x:c r="L393" s="28" t="str">
        <x:v>Not Started</x:v>
      </x:c>
      <x:c r="M393" s="43" t="n">
        <x:v>0</x:v>
      </x:c>
      <x:c r="N393" s="28" t="n">
        <x:v>1</x:v>
      </x:c>
      <x:c r="O393" s="28" t="str"/>
      <x:c r="P393" s="28" t="str"/>
      <x:c r="Q393" s="28" t="str"/>
      <x:c r="R393" s="28" t="str"/>
      <x:c r="S393" s="28" t="str">
        <x:v>High</x:v>
      </x:c>
      <x:c r="T393" s="28" t="str">
        <x:f>IF(L393="Done","Green",IF(L393="Blocked","Red",IF(TODAY()&gt;J393,"Red",IF(M393&gt;=0.6,"Yellow","Green"))))</x:f>
        <x:v>Green</x:v>
      </x:c>
      <x:c r="U393" s="28" t="str"/>
    </x:row>
    <x:row r="394">
      <x:c r="A394" s="28" t="str">
        <x:v>SV-10-0392</x:v>
      </x:c>
      <x:c r="B394" s="28" t="str">
        <x:v>Sprint 10</x:v>
      </x:c>
      <x:c r="C394" s="28" t="str">
        <x:v>Month 6</x:v>
      </x:c>
      <x:c r="D394" s="28" t="str">
        <x:v>Backend Engineer</x:v>
      </x:c>
      <x:c r="E394" s="28" t="str">
        <x:v>Container</x:v>
      </x:c>
      <x:c r="F394" s="28" t="str">
        <x:v>Containerize Saft API</x:v>
      </x:c>
      <x:c r="G394" s="28" t="str">
        <x:v>Docker image</x:v>
      </x:c>
      <x:c r="H394" s="28" t="str">
        <x:v>Critical</x:v>
      </x:c>
      <x:c r="I394" s="42" t="n">
        <x:f>INDEX('Sprint Plan'!$D$9:$D$20,MATCH(B394,'Sprint Plan'!$A$9:$A$20,0))</x:f>
        <x:v>46344</x:v>
      </x:c>
      <x:c r="J394" s="42" t="n">
        <x:f>INDEX('Sprint Plan'!$E$9:$E$20,MATCH(B394,'Sprint Plan'!$A$9:$A$20,0))</x:f>
        <x:v>46357</x:v>
      </x:c>
      <x:c r="K394" s="28" t="str">
        <x:v>TBD</x:v>
      </x:c>
      <x:c r="L394" s="28" t="str">
        <x:v>Not Started</x:v>
      </x:c>
      <x:c r="M394" s="43" t="n">
        <x:v>0</x:v>
      </x:c>
      <x:c r="N394" s="28" t="n">
        <x:v>1</x:v>
      </x:c>
      <x:c r="O394" s="28" t="str"/>
      <x:c r="P394" s="28" t="str"/>
      <x:c r="Q394" s="28" t="str"/>
      <x:c r="R394" s="28" t="str"/>
      <x:c r="S394" s="28" t="str">
        <x:v>High</x:v>
      </x:c>
      <x:c r="T394" s="28" t="str">
        <x:f>IF(L394="Done","Green",IF(L394="Blocked","Red",IF(TODAY()&gt;J394,"Red",IF(M394&gt;=0.6,"Yellow","Green"))))</x:f>
        <x:v>Green</x:v>
      </x:c>
      <x:c r="U394" s="28" t="str"/>
    </x:row>
    <x:row r="395">
      <x:c r="A395" s="28" t="str">
        <x:v>SV-10-0393</x:v>
      </x:c>
      <x:c r="B395" s="28" t="str">
        <x:v>Sprint 10</x:v>
      </x:c>
      <x:c r="C395" s="28" t="str">
        <x:v>Month 6</x:v>
      </x:c>
      <x:c r="D395" s="28" t="str">
        <x:v>Backend Engineer</x:v>
      </x:c>
      <x:c r="E395" s="28" t="str">
        <x:v>Config</x:v>
      </x:c>
      <x:c r="F395" s="28" t="str">
        <x:v>Setup env config</x:v>
      </x:c>
      <x:c r="G395" s="28" t="str">
        <x:v>Config template</x:v>
      </x:c>
      <x:c r="H395" s="28" t="str">
        <x:v>Critical</x:v>
      </x:c>
      <x:c r="I395" s="42" t="n">
        <x:f>INDEX('Sprint Plan'!$D$9:$D$20,MATCH(B395,'Sprint Plan'!$A$9:$A$20,0))</x:f>
        <x:v>46344</x:v>
      </x:c>
      <x:c r="J395" s="42" t="n">
        <x:f>INDEX('Sprint Plan'!$E$9:$E$20,MATCH(B395,'Sprint Plan'!$A$9:$A$20,0))</x:f>
        <x:v>46357</x:v>
      </x:c>
      <x:c r="K395" s="28" t="str">
        <x:v>TBD</x:v>
      </x:c>
      <x:c r="L395" s="28" t="str">
        <x:v>Not Started</x:v>
      </x:c>
      <x:c r="M395" s="43" t="n">
        <x:v>0</x:v>
      </x:c>
      <x:c r="N395" s="28" t="n">
        <x:v>1</x:v>
      </x:c>
      <x:c r="O395" s="28" t="str"/>
      <x:c r="P395" s="28" t="str"/>
      <x:c r="Q395" s="28" t="str"/>
      <x:c r="R395" s="28" t="str"/>
      <x:c r="S395" s="28" t="str">
        <x:v>High</x:v>
      </x:c>
      <x:c r="T395" s="28" t="str">
        <x:f>IF(L395="Done","Green",IF(L395="Blocked","Red",IF(TODAY()&gt;J395,"Red",IF(M395&gt;=0.6,"Yellow","Green"))))</x:f>
        <x:v>Green</x:v>
      </x:c>
      <x:c r="U395" s="28" t="str"/>
    </x:row>
    <x:row r="396">
      <x:c r="A396" s="28" t="str">
        <x:v>SV-10-0394</x:v>
      </x:c>
      <x:c r="B396" s="28" t="str">
        <x:v>Sprint 10</x:v>
      </x:c>
      <x:c r="C396" s="28" t="str">
        <x:v>Month 6</x:v>
      </x:c>
      <x:c r="D396" s="28" t="str">
        <x:v>Backend Engineer</x:v>
      </x:c>
      <x:c r="E396" s="28" t="str">
        <x:v>DB</x:v>
      </x:c>
      <x:c r="F396" s="28" t="str">
        <x:v>Setup migration DB</x:v>
      </x:c>
      <x:c r="G396" s="28" t="str">
        <x:v>DB migration</x:v>
      </x:c>
      <x:c r="H396" s="28" t="str">
        <x:v>Critical</x:v>
      </x:c>
      <x:c r="I396" s="42" t="n">
        <x:f>INDEX('Sprint Plan'!$D$9:$D$20,MATCH(B396,'Sprint Plan'!$A$9:$A$20,0))</x:f>
        <x:v>46344</x:v>
      </x:c>
      <x:c r="J396" s="42" t="n">
        <x:f>INDEX('Sprint Plan'!$E$9:$E$20,MATCH(B396,'Sprint Plan'!$A$9:$A$20,0))</x:f>
        <x:v>46357</x:v>
      </x:c>
      <x:c r="K396" s="28" t="str">
        <x:v>TBD</x:v>
      </x:c>
      <x:c r="L396" s="28" t="str">
        <x:v>Not Started</x:v>
      </x:c>
      <x:c r="M396" s="43" t="n">
        <x:v>0</x:v>
      </x:c>
      <x:c r="N396" s="28" t="n">
        <x:v>1</x:v>
      </x:c>
      <x:c r="O396" s="28" t="str"/>
      <x:c r="P396" s="28" t="str"/>
      <x:c r="Q396" s="28" t="str"/>
      <x:c r="R396" s="28" t="str"/>
      <x:c r="S396" s="28" t="str">
        <x:v>High</x:v>
      </x:c>
      <x:c r="T396" s="28" t="str">
        <x:f>IF(L396="Done","Green",IF(L396="Blocked","Red",IF(TODAY()&gt;J396,"Red",IF(M396&gt;=0.6,"Yellow","Green"))))</x:f>
        <x:v>Green</x:v>
      </x:c>
      <x:c r="U396" s="28" t="str"/>
    </x:row>
    <x:row r="397">
      <x:c r="A397" s="28" t="str">
        <x:v>SV-10-0395</x:v>
      </x:c>
      <x:c r="B397" s="28" t="str">
        <x:v>Sprint 10</x:v>
      </x:c>
      <x:c r="C397" s="28" t="str">
        <x:v>Month 6</x:v>
      </x:c>
      <x:c r="D397" s="28" t="str">
        <x:v>Backend Engineer</x:v>
      </x:c>
      <x:c r="E397" s="28" t="str">
        <x:v>Seed</x:v>
      </x:c>
      <x:c r="F397" s="28" t="str">
        <x:v>Setup seed admin</x:v>
      </x:c>
      <x:c r="G397" s="28" t="str">
        <x:v>Admin seed</x:v>
      </x:c>
      <x:c r="H397" s="28" t="str">
        <x:v>Critical</x:v>
      </x:c>
      <x:c r="I397" s="42" t="n">
        <x:f>INDEX('Sprint Plan'!$D$9:$D$20,MATCH(B397,'Sprint Plan'!$A$9:$A$20,0))</x:f>
        <x:v>46344</x:v>
      </x:c>
      <x:c r="J397" s="42" t="n">
        <x:f>INDEX('Sprint Plan'!$E$9:$E$20,MATCH(B397,'Sprint Plan'!$A$9:$A$20,0))</x:f>
        <x:v>46357</x:v>
      </x:c>
      <x:c r="K397" s="28" t="str">
        <x:v>TBD</x:v>
      </x:c>
      <x:c r="L397" s="28" t="str">
        <x:v>Not Started</x:v>
      </x:c>
      <x:c r="M397" s="43" t="n">
        <x:v>0</x:v>
      </x:c>
      <x:c r="N397" s="28" t="n">
        <x:v>1</x:v>
      </x:c>
      <x:c r="O397" s="28" t="str"/>
      <x:c r="P397" s="28" t="str"/>
      <x:c r="Q397" s="28" t="str"/>
      <x:c r="R397" s="28" t="str"/>
      <x:c r="S397" s="28" t="str">
        <x:v>High</x:v>
      </x:c>
      <x:c r="T397" s="28" t="str">
        <x:f>IF(L397="Done","Green",IF(L397="Blocked","Red",IF(TODAY()&gt;J397,"Red",IF(M397&gt;=0.6,"Yellow","Green"))))</x:f>
        <x:v>Green</x:v>
      </x:c>
      <x:c r="U397" s="28" t="str"/>
    </x:row>
    <x:row r="398">
      <x:c r="A398" s="28" t="str">
        <x:v>SV-10-0396</x:v>
      </x:c>
      <x:c r="B398" s="28" t="str">
        <x:v>Sprint 10</x:v>
      </x:c>
      <x:c r="C398" s="28" t="str">
        <x:v>Month 6</x:v>
      </x:c>
      <x:c r="D398" s="28" t="str">
        <x:v>Backend Engineer</x:v>
      </x:c>
      <x:c r="E398" s="28" t="str">
        <x:v>Health</x:v>
      </x:c>
      <x:c r="F398" s="28" t="str">
        <x:v>Setup license placeholder and health endpoint</x:v>
      </x:c>
      <x:c r="G398" s="28" t="str">
        <x:v>License/health</x:v>
      </x:c>
      <x:c r="H398" s="28" t="str">
        <x:v>Critical</x:v>
      </x:c>
      <x:c r="I398" s="42" t="n">
        <x:f>INDEX('Sprint Plan'!$D$9:$D$20,MATCH(B398,'Sprint Plan'!$A$9:$A$20,0))</x:f>
        <x:v>46344</x:v>
      </x:c>
      <x:c r="J398" s="42" t="n">
        <x:f>INDEX('Sprint Plan'!$E$9:$E$20,MATCH(B398,'Sprint Plan'!$A$9:$A$20,0))</x:f>
        <x:v>46357</x:v>
      </x:c>
      <x:c r="K398" s="28" t="str">
        <x:v>TBD</x:v>
      </x:c>
      <x:c r="L398" s="28" t="str">
        <x:v>Not Started</x:v>
      </x:c>
      <x:c r="M398" s="43" t="n">
        <x:v>0</x:v>
      </x:c>
      <x:c r="N398" s="28" t="n">
        <x:v>1</x:v>
      </x:c>
      <x:c r="O398" s="28" t="str"/>
      <x:c r="P398" s="28" t="str"/>
      <x:c r="Q398" s="28" t="str"/>
      <x:c r="R398" s="28" t="str"/>
      <x:c r="S398" s="28" t="str">
        <x:v>High</x:v>
      </x:c>
      <x:c r="T398" s="28" t="str">
        <x:f>IF(L398="Done","Green",IF(L398="Blocked","Red",IF(TODAY()&gt;J398,"Red",IF(M398&gt;=0.6,"Yellow","Green"))))</x:f>
        <x:v>Green</x:v>
      </x:c>
      <x:c r="U398" s="28" t="str"/>
    </x:row>
    <x:row r="399">
      <x:c r="A399" s="28" t="str">
        <x:v>SV-10-0397</x:v>
      </x:c>
      <x:c r="B399" s="28" t="str">
        <x:v>Sprint 10</x:v>
      </x:c>
      <x:c r="C399" s="28" t="str">
        <x:v>Month 6</x:v>
      </x:c>
      <x:c r="D399" s="28" t="str">
        <x:v>Frontend Engineer</x:v>
      </x:c>
      <x:c r="E399" s="28" t="str">
        <x:v>Build</x:v>
      </x:c>
      <x:c r="F399" s="28" t="str">
        <x:v>Build production frontend</x:v>
      </x:c>
      <x:c r="G399" s="28" t="str">
        <x:v>Build artifact</x:v>
      </x:c>
      <x:c r="H399" s="28" t="str">
        <x:v>Critical</x:v>
      </x:c>
      <x:c r="I399" s="42" t="n">
        <x:f>INDEX('Sprint Plan'!$D$9:$D$20,MATCH(B399,'Sprint Plan'!$A$9:$A$20,0))</x:f>
        <x:v>46344</x:v>
      </x:c>
      <x:c r="J399" s="42" t="n">
        <x:f>INDEX('Sprint Plan'!$E$9:$E$20,MATCH(B399,'Sprint Plan'!$A$9:$A$20,0))</x:f>
        <x:v>46357</x:v>
      </x:c>
      <x:c r="K399" s="28" t="str">
        <x:v>TBD</x:v>
      </x:c>
      <x:c r="L399" s="28" t="str">
        <x:v>Not Started</x:v>
      </x:c>
      <x:c r="M399" s="43" t="n">
        <x:v>0</x:v>
      </x:c>
      <x:c r="N399" s="28" t="n">
        <x:v>1</x:v>
      </x:c>
      <x:c r="O399" s="28" t="str"/>
      <x:c r="P399" s="28" t="str"/>
      <x:c r="Q399" s="28" t="str"/>
      <x:c r="R399" s="28" t="str"/>
      <x:c r="S399" s="28" t="str">
        <x:v>High</x:v>
      </x:c>
      <x:c r="T399" s="28" t="str">
        <x:f>IF(L399="Done","Green",IF(L399="Blocked","Red",IF(TODAY()&gt;J399,"Red",IF(M399&gt;=0.6,"Yellow","Green"))))</x:f>
        <x:v>Green</x:v>
      </x:c>
      <x:c r="U399" s="28" t="str"/>
    </x:row>
    <x:row r="400">
      <x:c r="A400" s="28" t="str">
        <x:v>SV-10-0398</x:v>
      </x:c>
      <x:c r="B400" s="28" t="str">
        <x:v>Sprint 10</x:v>
      </x:c>
      <x:c r="C400" s="28" t="str">
        <x:v>Month 6</x:v>
      </x:c>
      <x:c r="D400" s="28" t="str">
        <x:v>Frontend Engineer</x:v>
      </x:c>
      <x:c r="E400" s="28" t="str">
        <x:v>Config</x:v>
      </x:c>
      <x:c r="F400" s="28" t="str">
        <x:v>Setup environment config</x:v>
      </x:c>
      <x:c r="G400" s="28" t="str">
        <x:v>Config</x:v>
      </x:c>
      <x:c r="H400" s="28" t="str">
        <x:v>Critical</x:v>
      </x:c>
      <x:c r="I400" s="42" t="n">
        <x:f>INDEX('Sprint Plan'!$D$9:$D$20,MATCH(B400,'Sprint Plan'!$A$9:$A$20,0))</x:f>
        <x:v>46344</x:v>
      </x:c>
      <x:c r="J400" s="42" t="n">
        <x:f>INDEX('Sprint Plan'!$E$9:$E$20,MATCH(B400,'Sprint Plan'!$A$9:$A$20,0))</x:f>
        <x:v>46357</x:v>
      </x:c>
      <x:c r="K400" s="28" t="str">
        <x:v>TBD</x:v>
      </x:c>
      <x:c r="L400" s="28" t="str">
        <x:v>Not Started</x:v>
      </x:c>
      <x:c r="M400" s="43" t="n">
        <x:v>0</x:v>
      </x:c>
      <x:c r="N400" s="28" t="n">
        <x:v>1</x:v>
      </x:c>
      <x:c r="O400" s="28" t="str"/>
      <x:c r="P400" s="28" t="str"/>
      <x:c r="Q400" s="28" t="str"/>
      <x:c r="R400" s="28" t="str"/>
      <x:c r="S400" s="28" t="str">
        <x:v>High</x:v>
      </x:c>
      <x:c r="T400" s="28" t="str">
        <x:f>IF(L400="Done","Green",IF(L400="Blocked","Red",IF(TODAY()&gt;J400,"Red",IF(M400&gt;=0.6,"Yellow","Green"))))</x:f>
        <x:v>Green</x:v>
      </x:c>
      <x:c r="U400" s="28" t="str"/>
    </x:row>
    <x:row r="401">
      <x:c r="A401" s="28" t="str">
        <x:v>SV-10-0399</x:v>
      </x:c>
      <x:c r="B401" s="28" t="str">
        <x:v>Sprint 10</x:v>
      </x:c>
      <x:c r="C401" s="28" t="str">
        <x:v>Month 6</x:v>
      </x:c>
      <x:c r="D401" s="28" t="str">
        <x:v>Frontend Engineer</x:v>
      </x:c>
      <x:c r="E401" s="28" t="str">
        <x:v>Release</x:v>
      </x:c>
      <x:c r="F401" s="28" t="str">
        <x:v>Setup release mode</x:v>
      </x:c>
      <x:c r="G401" s="28" t="str">
        <x:v>Release</x:v>
      </x:c>
      <x:c r="H401" s="28" t="str">
        <x:v>Critical</x:v>
      </x:c>
      <x:c r="I401" s="42" t="n">
        <x:f>INDEX('Sprint Plan'!$D$9:$D$20,MATCH(B401,'Sprint Plan'!$A$9:$A$20,0))</x:f>
        <x:v>46344</x:v>
      </x:c>
      <x:c r="J401" s="42" t="n">
        <x:f>INDEX('Sprint Plan'!$E$9:$E$20,MATCH(B401,'Sprint Plan'!$A$9:$A$20,0))</x:f>
        <x:v>46357</x:v>
      </x:c>
      <x:c r="K401" s="28" t="str">
        <x:v>TBD</x:v>
      </x:c>
      <x:c r="L401" s="28" t="str">
        <x:v>Not Started</x:v>
      </x:c>
      <x:c r="M401" s="43" t="n">
        <x:v>0</x:v>
      </x:c>
      <x:c r="N401" s="28" t="n">
        <x:v>1</x:v>
      </x:c>
      <x:c r="O401" s="28" t="str"/>
      <x:c r="P401" s="28" t="str"/>
      <x:c r="Q401" s="28" t="str"/>
      <x:c r="R401" s="28" t="str"/>
      <x:c r="S401" s="28" t="str">
        <x:v>High</x:v>
      </x:c>
      <x:c r="T401" s="28" t="str">
        <x:f>IF(L401="Done","Green",IF(L401="Blocked","Red",IF(TODAY()&gt;J401,"Red",IF(M401&gt;=0.6,"Yellow","Green"))))</x:f>
        <x:v>Green</x:v>
      </x:c>
      <x:c r="U401" s="28" t="str"/>
    </x:row>
    <x:row r="402">
      <x:c r="A402" s="28" t="str">
        <x:v>SV-10-0400</x:v>
      </x:c>
      <x:c r="B402" s="28" t="str">
        <x:v>Sprint 10</x:v>
      </x:c>
      <x:c r="C402" s="28" t="str">
        <x:v>Month 6</x:v>
      </x:c>
      <x:c r="D402" s="28" t="str">
        <x:v>Frontend Engineer</x:v>
      </x:c>
      <x:c r="E402" s="28" t="str">
        <x:v>Polish</x:v>
      </x:c>
      <x:c r="F402" s="28" t="str">
        <x:v>Polish UI for demo</x:v>
      </x:c>
      <x:c r="G402" s="28" t="str">
        <x:v>Demo-ready UI</x:v>
      </x:c>
      <x:c r="H402" s="28" t="str">
        <x:v>Critical</x:v>
      </x:c>
      <x:c r="I402" s="42" t="n">
        <x:f>INDEX('Sprint Plan'!$D$9:$D$20,MATCH(B402,'Sprint Plan'!$A$9:$A$20,0))</x:f>
        <x:v>46344</x:v>
      </x:c>
      <x:c r="J402" s="42" t="n">
        <x:f>INDEX('Sprint Plan'!$E$9:$E$20,MATCH(B402,'Sprint Plan'!$A$9:$A$20,0))</x:f>
        <x:v>46357</x:v>
      </x:c>
      <x:c r="K402" s="28" t="str">
        <x:v>TBD</x:v>
      </x:c>
      <x:c r="L402" s="28" t="str">
        <x:v>Not Started</x:v>
      </x:c>
      <x:c r="M402" s="43" t="n">
        <x:v>0</x:v>
      </x:c>
      <x:c r="N402" s="28" t="n">
        <x:v>1</x:v>
      </x:c>
      <x:c r="O402" s="28" t="str"/>
      <x:c r="P402" s="28" t="str"/>
      <x:c r="Q402" s="28" t="str"/>
      <x:c r="R402" s="28" t="str"/>
      <x:c r="S402" s="28" t="str">
        <x:v>High</x:v>
      </x:c>
      <x:c r="T402" s="28" t="str">
        <x:f>IF(L402="Done","Green",IF(L402="Blocked","Red",IF(TODAY()&gt;J402,"Red",IF(M402&gt;=0.6,"Yellow","Green"))))</x:f>
        <x:v>Green</x:v>
      </x:c>
      <x:c r="U402" s="28" t="str"/>
    </x:row>
    <x:row r="403">
      <x:c r="A403" s="28" t="str">
        <x:v>SV-10-0401</x:v>
      </x:c>
      <x:c r="B403" s="28" t="str">
        <x:v>Sprint 10</x:v>
      </x:c>
      <x:c r="C403" s="28" t="str">
        <x:v>Month 6</x:v>
      </x:c>
      <x:c r="D403" s="28" t="str">
        <x:v>Frontend Engineer</x:v>
      </x:c>
      <x:c r="E403" s="28" t="str">
        <x:v>Version</x:v>
      </x:c>
      <x:c r="F403" s="28" t="str">
        <x:v>Add version info</x:v>
      </x:c>
      <x:c r="G403" s="28" t="str">
        <x:v>Version display</x:v>
      </x:c>
      <x:c r="H403" s="28" t="str">
        <x:v>Critical</x:v>
      </x:c>
      <x:c r="I403" s="42" t="n">
        <x:f>INDEX('Sprint Plan'!$D$9:$D$20,MATCH(B403,'Sprint Plan'!$A$9:$A$20,0))</x:f>
        <x:v>46344</x:v>
      </x:c>
      <x:c r="J403" s="42" t="n">
        <x:f>INDEX('Sprint Plan'!$E$9:$E$20,MATCH(B403,'Sprint Plan'!$A$9:$A$20,0))</x:f>
        <x:v>46357</x:v>
      </x:c>
      <x:c r="K403" s="28" t="str">
        <x:v>TBD</x:v>
      </x:c>
      <x:c r="L403" s="28" t="str">
        <x:v>Not Started</x:v>
      </x:c>
      <x:c r="M403" s="43" t="n">
        <x:v>0</x:v>
      </x:c>
      <x:c r="N403" s="28" t="n">
        <x:v>1</x:v>
      </x:c>
      <x:c r="O403" s="28" t="str"/>
      <x:c r="P403" s="28" t="str"/>
      <x:c r="Q403" s="28" t="str"/>
      <x:c r="R403" s="28" t="str"/>
      <x:c r="S403" s="28" t="str">
        <x:v>High</x:v>
      </x:c>
      <x:c r="T403" s="28" t="str">
        <x:f>IF(L403="Done","Green",IF(L403="Blocked","Red",IF(TODAY()&gt;J403,"Red",IF(M403&gt;=0.6,"Yellow","Green"))))</x:f>
        <x:v>Green</x:v>
      </x:c>
      <x:c r="U403" s="28" t="str"/>
    </x:row>
    <x:row r="404">
      <x:c r="A404" s="28" t="str">
        <x:v>SV-10-0402</x:v>
      </x:c>
      <x:c r="B404" s="28" t="str">
        <x:v>Sprint 10</x:v>
      </x:c>
      <x:c r="C404" s="28" t="str">
        <x:v>Month 6</x:v>
      </x:c>
      <x:c r="D404" s="28" t="str">
        <x:v>QA/Tester</x:v>
      </x:c>
      <x:c r="E404" s="28" t="str">
        <x:v>Install</x:v>
      </x:c>
      <x:c r="F404" s="28" t="str">
        <x:v>Test installer from zero</x:v>
      </x:c>
      <x:c r="G404" s="28" t="str">
        <x:v>Install test</x:v>
      </x:c>
      <x:c r="H404" s="28" t="str">
        <x:v>Critical</x:v>
      </x:c>
      <x:c r="I404" s="42" t="n">
        <x:f>INDEX('Sprint Plan'!$D$9:$D$20,MATCH(B404,'Sprint Plan'!$A$9:$A$20,0))</x:f>
        <x:v>46344</x:v>
      </x:c>
      <x:c r="J404" s="42" t="n">
        <x:f>INDEX('Sprint Plan'!$E$9:$E$20,MATCH(B404,'Sprint Plan'!$A$9:$A$20,0))</x:f>
        <x:v>46357</x:v>
      </x:c>
      <x:c r="K404" s="28" t="str">
        <x:v>TBD</x:v>
      </x:c>
      <x:c r="L404" s="28" t="str">
        <x:v>Not Started</x:v>
      </x:c>
      <x:c r="M404" s="43" t="n">
        <x:v>0</x:v>
      </x:c>
      <x:c r="N404" s="28" t="n">
        <x:v>1</x:v>
      </x:c>
      <x:c r="O404" s="28" t="str"/>
      <x:c r="P404" s="28" t="str"/>
      <x:c r="Q404" s="28" t="str"/>
      <x:c r="R404" s="28" t="str"/>
      <x:c r="S404" s="28" t="str">
        <x:v>High</x:v>
      </x:c>
      <x:c r="T404" s="28" t="str">
        <x:f>IF(L404="Done","Green",IF(L404="Blocked","Red",IF(TODAY()&gt;J404,"Red",IF(M404&gt;=0.6,"Yellow","Green"))))</x:f>
        <x:v>Green</x:v>
      </x:c>
      <x:c r="U404" s="28" t="str"/>
    </x:row>
    <x:row r="405">
      <x:c r="A405" s="28" t="str">
        <x:v>SV-10-0403</x:v>
      </x:c>
      <x:c r="B405" s="28" t="str">
        <x:v>Sprint 10</x:v>
      </x:c>
      <x:c r="C405" s="28" t="str">
        <x:v>Month 6</x:v>
      </x:c>
      <x:c r="D405" s="28" t="str">
        <x:v>QA/Tester</x:v>
      </x:c>
      <x:c r="E405" s="28" t="str">
        <x:v>Config</x:v>
      </x:c>
      <x:c r="F405" s="28" t="str">
        <x:v>Test config variation</x:v>
      </x:c>
      <x:c r="G405" s="28" t="str">
        <x:v>Config test</x:v>
      </x:c>
      <x:c r="H405" s="28" t="str">
        <x:v>Critical</x:v>
      </x:c>
      <x:c r="I405" s="42" t="n">
        <x:f>INDEX('Sprint Plan'!$D$9:$D$20,MATCH(B405,'Sprint Plan'!$A$9:$A$20,0))</x:f>
        <x:v>46344</x:v>
      </x:c>
      <x:c r="J405" s="42" t="n">
        <x:f>INDEX('Sprint Plan'!$E$9:$E$20,MATCH(B405,'Sprint Plan'!$A$9:$A$20,0))</x:f>
        <x:v>46357</x:v>
      </x:c>
      <x:c r="K405" s="28" t="str">
        <x:v>TBD</x:v>
      </x:c>
      <x:c r="L405" s="28" t="str">
        <x:v>Not Started</x:v>
      </x:c>
      <x:c r="M405" s="43" t="n">
        <x:v>0</x:v>
      </x:c>
      <x:c r="N405" s="28" t="n">
        <x:v>1</x:v>
      </x:c>
      <x:c r="O405" s="28" t="str"/>
      <x:c r="P405" s="28" t="str"/>
      <x:c r="Q405" s="28" t="str"/>
      <x:c r="R405" s="28" t="str"/>
      <x:c r="S405" s="28" t="str">
        <x:v>High</x:v>
      </x:c>
      <x:c r="T405" s="28" t="str">
        <x:f>IF(L405="Done","Green",IF(L405="Blocked","Red",IF(TODAY()&gt;J405,"Red",IF(M405&gt;=0.6,"Yellow","Green"))))</x:f>
        <x:v>Green</x:v>
      </x:c>
      <x:c r="U405" s="28" t="str"/>
    </x:row>
    <x:row r="406">
      <x:c r="A406" s="28" t="str">
        <x:v>SV-10-0404</x:v>
      </x:c>
      <x:c r="B406" s="28" t="str">
        <x:v>Sprint 10</x:v>
      </x:c>
      <x:c r="C406" s="28" t="str">
        <x:v>Month 6</x:v>
      </x:c>
      <x:c r="D406" s="28" t="str">
        <x:v>QA/Tester</x:v>
      </x:c>
      <x:c r="E406" s="28" t="str">
        <x:v>Health</x:v>
      </x:c>
      <x:c r="F406" s="28" t="str">
        <x:v>Test health check</x:v>
      </x:c>
      <x:c r="G406" s="28" t="str">
        <x:v>Health test</x:v>
      </x:c>
      <x:c r="H406" s="28" t="str">
        <x:v>Critical</x:v>
      </x:c>
      <x:c r="I406" s="42" t="n">
        <x:f>INDEX('Sprint Plan'!$D$9:$D$20,MATCH(B406,'Sprint Plan'!$A$9:$A$20,0))</x:f>
        <x:v>46344</x:v>
      </x:c>
      <x:c r="J406" s="42" t="n">
        <x:f>INDEX('Sprint Plan'!$E$9:$E$20,MATCH(B406,'Sprint Plan'!$A$9:$A$20,0))</x:f>
        <x:v>46357</x:v>
      </x:c>
      <x:c r="K406" s="28" t="str">
        <x:v>TBD</x:v>
      </x:c>
      <x:c r="L406" s="28" t="str">
        <x:v>Not Started</x:v>
      </x:c>
      <x:c r="M406" s="43" t="n">
        <x:v>0</x:v>
      </x:c>
      <x:c r="N406" s="28" t="n">
        <x:v>1</x:v>
      </x:c>
      <x:c r="O406" s="28" t="str"/>
      <x:c r="P406" s="28" t="str"/>
      <x:c r="Q406" s="28" t="str"/>
      <x:c r="R406" s="28" t="str"/>
      <x:c r="S406" s="28" t="str">
        <x:v>High</x:v>
      </x:c>
      <x:c r="T406" s="28" t="str">
        <x:f>IF(L406="Done","Green",IF(L406="Blocked","Red",IF(TODAY()&gt;J406,"Red",IF(M406&gt;=0.6,"Yellow","Green"))))</x:f>
        <x:v>Green</x:v>
      </x:c>
      <x:c r="U406" s="28" t="str"/>
    </x:row>
    <x:row r="407">
      <x:c r="A407" s="28" t="str">
        <x:v>SV-10-0405</x:v>
      </x:c>
      <x:c r="B407" s="28" t="str">
        <x:v>Sprint 10</x:v>
      </x:c>
      <x:c r="C407" s="28" t="str">
        <x:v>Month 6</x:v>
      </x:c>
      <x:c r="D407" s="28" t="str">
        <x:v>QA/Tester</x:v>
      </x:c>
      <x:c r="E407" s="28" t="str">
        <x:v>Deployment</x:v>
      </x:c>
      <x:c r="F407" s="28" t="str">
        <x:v>Test POC deployment</x:v>
      </x:c>
      <x:c r="G407" s="28" t="str">
        <x:v>Deployment test</x:v>
      </x:c>
      <x:c r="H407" s="28" t="str">
        <x:v>Critical</x:v>
      </x:c>
      <x:c r="I407" s="42" t="n">
        <x:f>INDEX('Sprint Plan'!$D$9:$D$20,MATCH(B407,'Sprint Plan'!$A$9:$A$20,0))</x:f>
        <x:v>46344</x:v>
      </x:c>
      <x:c r="J407" s="42" t="n">
        <x:f>INDEX('Sprint Plan'!$E$9:$E$20,MATCH(B407,'Sprint Plan'!$A$9:$A$20,0))</x:f>
        <x:v>46357</x:v>
      </x:c>
      <x:c r="K407" s="28" t="str">
        <x:v>TBD</x:v>
      </x:c>
      <x:c r="L407" s="28" t="str">
        <x:v>Not Started</x:v>
      </x:c>
      <x:c r="M407" s="43" t="n">
        <x:v>0</x:v>
      </x:c>
      <x:c r="N407" s="28" t="n">
        <x:v>1</x:v>
      </x:c>
      <x:c r="O407" s="28" t="str"/>
      <x:c r="P407" s="28" t="str"/>
      <x:c r="Q407" s="28" t="str"/>
      <x:c r="R407" s="28" t="str"/>
      <x:c r="S407" s="28" t="str">
        <x:v>High</x:v>
      </x:c>
      <x:c r="T407" s="28" t="str">
        <x:f>IF(L407="Done","Green",IF(L407="Blocked","Red",IF(TODAY()&gt;J407,"Red",IF(M407&gt;=0.6,"Yellow","Green"))))</x:f>
        <x:v>Green</x:v>
      </x:c>
      <x:c r="U407" s="28" t="str"/>
    </x:row>
    <x:row r="408">
      <x:c r="A408" s="28" t="str">
        <x:v>SV-10-0406</x:v>
      </x:c>
      <x:c r="B408" s="28" t="str">
        <x:v>Sprint 10</x:v>
      </x:c>
      <x:c r="C408" s="28" t="str">
        <x:v>Month 6</x:v>
      </x:c>
      <x:c r="D408" s="28" t="str">
        <x:v>QA/Tester</x:v>
      </x:c>
      <x:c r="E408" s="28" t="str">
        <x:v>Regression</x:v>
      </x:c>
      <x:c r="F408" s="28" t="str">
        <x:v>Regression full flow</x:v>
      </x:c>
      <x:c r="G408" s="28" t="str">
        <x:v>Regression report</x:v>
      </x:c>
      <x:c r="H408" s="28" t="str">
        <x:v>Critical</x:v>
      </x:c>
      <x:c r="I408" s="42" t="n">
        <x:f>INDEX('Sprint Plan'!$D$9:$D$20,MATCH(B408,'Sprint Plan'!$A$9:$A$20,0))</x:f>
        <x:v>46344</x:v>
      </x:c>
      <x:c r="J408" s="42" t="n">
        <x:f>INDEX('Sprint Plan'!$E$9:$E$20,MATCH(B408,'Sprint Plan'!$A$9:$A$20,0))</x:f>
        <x:v>46357</x:v>
      </x:c>
      <x:c r="K408" s="28" t="str">
        <x:v>TBD</x:v>
      </x:c>
      <x:c r="L408" s="28" t="str">
        <x:v>Not Started</x:v>
      </x:c>
      <x:c r="M408" s="43" t="n">
        <x:v>0</x:v>
      </x:c>
      <x:c r="N408" s="28" t="n">
        <x:v>1</x:v>
      </x:c>
      <x:c r="O408" s="28" t="str"/>
      <x:c r="P408" s="28" t="str"/>
      <x:c r="Q408" s="28" t="str"/>
      <x:c r="R408" s="28" t="str"/>
      <x:c r="S408" s="28" t="str">
        <x:v>High</x:v>
      </x:c>
      <x:c r="T408" s="28" t="str">
        <x:f>IF(L408="Done","Green",IF(L408="Blocked","Red",IF(TODAY()&gt;J408,"Red",IF(M408&gt;=0.6,"Yellow","Green"))))</x:f>
        <x:v>Green</x:v>
      </x:c>
      <x:c r="U408" s="28" t="str"/>
    </x:row>
    <x:row r="409">
      <x:c r="A409" s="28" t="str">
        <x:v>SV-10-0407</x:v>
      </x:c>
      <x:c r="B409" s="28" t="str">
        <x:v>Sprint 10</x:v>
      </x:c>
      <x:c r="C409" s="28" t="str">
        <x:v>Month 6</x:v>
      </x:c>
      <x:c r="D409" s="28" t="str">
        <x:v>Technical Writer</x:v>
      </x:c>
      <x:c r="E409" s="28" t="str">
        <x:v>Install Guide</x:v>
      </x:c>
      <x:c r="F409" s="28" t="str">
        <x:v>Installation guide</x:v>
      </x:c>
      <x:c r="G409" s="28" t="str">
        <x:v>Install guide</x:v>
      </x:c>
      <x:c r="H409" s="28" t="str">
        <x:v>Critical</x:v>
      </x:c>
      <x:c r="I409" s="42" t="n">
        <x:f>INDEX('Sprint Plan'!$D$9:$D$20,MATCH(B409,'Sprint Plan'!$A$9:$A$20,0))</x:f>
        <x:v>46344</x:v>
      </x:c>
      <x:c r="J409" s="42" t="n">
        <x:f>INDEX('Sprint Plan'!$E$9:$E$20,MATCH(B409,'Sprint Plan'!$A$9:$A$20,0))</x:f>
        <x:v>46357</x:v>
      </x:c>
      <x:c r="K409" s="28" t="str">
        <x:v>TBD</x:v>
      </x:c>
      <x:c r="L409" s="28" t="str">
        <x:v>Not Started</x:v>
      </x:c>
      <x:c r="M409" s="43" t="n">
        <x:v>0</x:v>
      </x:c>
      <x:c r="N409" s="28" t="n">
        <x:v>1</x:v>
      </x:c>
      <x:c r="O409" s="28" t="str"/>
      <x:c r="P409" s="28" t="str"/>
      <x:c r="Q409" s="28" t="str"/>
      <x:c r="R409" s="28" t="str"/>
      <x:c r="S409" s="28" t="str">
        <x:v>High</x:v>
      </x:c>
      <x:c r="T409" s="28" t="str">
        <x:f>IF(L409="Done","Green",IF(L409="Blocked","Red",IF(TODAY()&gt;J409,"Red",IF(M409&gt;=0.6,"Yellow","Green"))))</x:f>
        <x:v>Green</x:v>
      </x:c>
      <x:c r="U409" s="28" t="str"/>
    </x:row>
    <x:row r="410">
      <x:c r="A410" s="28" t="str">
        <x:v>SV-10-0408</x:v>
      </x:c>
      <x:c r="B410" s="28" t="str">
        <x:v>Sprint 10</x:v>
      </x:c>
      <x:c r="C410" s="28" t="str">
        <x:v>Month 6</x:v>
      </x:c>
      <x:c r="D410" s="28" t="str">
        <x:v>Technical Writer</x:v>
      </x:c>
      <x:c r="E410" s="28" t="str">
        <x:v>Deployment Guide</x:v>
      </x:c>
      <x:c r="F410" s="28" t="str">
        <x:v>Deployment guide</x:v>
      </x:c>
      <x:c r="G410" s="28" t="str">
        <x:v>Deployment guide</x:v>
      </x:c>
      <x:c r="H410" s="28" t="str">
        <x:v>Critical</x:v>
      </x:c>
      <x:c r="I410" s="42" t="n">
        <x:f>INDEX('Sprint Plan'!$D$9:$D$20,MATCH(B410,'Sprint Plan'!$A$9:$A$20,0))</x:f>
        <x:v>46344</x:v>
      </x:c>
      <x:c r="J410" s="42" t="n">
        <x:f>INDEX('Sprint Plan'!$E$9:$E$20,MATCH(B410,'Sprint Plan'!$A$9:$A$20,0))</x:f>
        <x:v>46357</x:v>
      </x:c>
      <x:c r="K410" s="28" t="str">
        <x:v>TBD</x:v>
      </x:c>
      <x:c r="L410" s="28" t="str">
        <x:v>Not Started</x:v>
      </x:c>
      <x:c r="M410" s="43" t="n">
        <x:v>0</x:v>
      </x:c>
      <x:c r="N410" s="28" t="n">
        <x:v>1</x:v>
      </x:c>
      <x:c r="O410" s="28" t="str"/>
      <x:c r="P410" s="28" t="str"/>
      <x:c r="Q410" s="28" t="str"/>
      <x:c r="R410" s="28" t="str"/>
      <x:c r="S410" s="28" t="str">
        <x:v>High</x:v>
      </x:c>
      <x:c r="T410" s="28" t="str">
        <x:f>IF(L410="Done","Green",IF(L410="Blocked","Red",IF(TODAY()&gt;J410,"Red",IF(M410&gt;=0.6,"Yellow","Green"))))</x:f>
        <x:v>Green</x:v>
      </x:c>
      <x:c r="U410" s="28" t="str"/>
    </x:row>
    <x:row r="411">
      <x:c r="A411" s="28" t="str">
        <x:v>SV-10-0409</x:v>
      </x:c>
      <x:c r="B411" s="28" t="str">
        <x:v>Sprint 10</x:v>
      </x:c>
      <x:c r="C411" s="28" t="str">
        <x:v>Month 6</x:v>
      </x:c>
      <x:c r="D411" s="28" t="str">
        <x:v>Technical Writer</x:v>
      </x:c>
      <x:c r="E411" s="28" t="str">
        <x:v>Handover</x:v>
      </x:c>
      <x:c r="F411" s="28" t="str">
        <x:v>Handover guide</x:v>
      </x:c>
      <x:c r="G411" s="28" t="str">
        <x:v>Handover guide</x:v>
      </x:c>
      <x:c r="H411" s="28" t="str">
        <x:v>Critical</x:v>
      </x:c>
      <x:c r="I411" s="42" t="n">
        <x:f>INDEX('Sprint Plan'!$D$9:$D$20,MATCH(B411,'Sprint Plan'!$A$9:$A$20,0))</x:f>
        <x:v>46344</x:v>
      </x:c>
      <x:c r="J411" s="42" t="n">
        <x:f>INDEX('Sprint Plan'!$E$9:$E$20,MATCH(B411,'Sprint Plan'!$A$9:$A$20,0))</x:f>
        <x:v>46357</x:v>
      </x:c>
      <x:c r="K411" s="28" t="str">
        <x:v>TBD</x:v>
      </x:c>
      <x:c r="L411" s="28" t="str">
        <x:v>Not Started</x:v>
      </x:c>
      <x:c r="M411" s="43" t="n">
        <x:v>0</x:v>
      </x:c>
      <x:c r="N411" s="28" t="n">
        <x:v>1</x:v>
      </x:c>
      <x:c r="O411" s="28" t="str"/>
      <x:c r="P411" s="28" t="str"/>
      <x:c r="Q411" s="28" t="str"/>
      <x:c r="R411" s="28" t="str"/>
      <x:c r="S411" s="28" t="str">
        <x:v>High</x:v>
      </x:c>
      <x:c r="T411" s="28" t="str">
        <x:f>IF(L411="Done","Green",IF(L411="Blocked","Red",IF(TODAY()&gt;J411,"Red",IF(M411&gt;=0.6,"Yellow","Green"))))</x:f>
        <x:v>Green</x:v>
      </x:c>
      <x:c r="U411" s="28" t="str"/>
    </x:row>
    <x:row r="412">
      <x:c r="A412" s="28" t="str">
        <x:v>SV-10-0410</x:v>
      </x:c>
      <x:c r="B412" s="28" t="str">
        <x:v>Sprint 10</x:v>
      </x:c>
      <x:c r="C412" s="28" t="str">
        <x:v>Month 6</x:v>
      </x:c>
      <x:c r="D412" s="28" t="str">
        <x:v>Technical Writer</x:v>
      </x:c>
      <x:c r="E412" s="28" t="str">
        <x:v>Troubleshooting</x:v>
      </x:c>
      <x:c r="F412" s="28" t="str">
        <x:v>Troubleshooting guide</x:v>
      </x:c>
      <x:c r="G412" s="28" t="str">
        <x:v>Troubleshooting</x:v>
      </x:c>
      <x:c r="H412" s="28" t="str">
        <x:v>Critical</x:v>
      </x:c>
      <x:c r="I412" s="42" t="n">
        <x:f>INDEX('Sprint Plan'!$D$9:$D$20,MATCH(B412,'Sprint Plan'!$A$9:$A$20,0))</x:f>
        <x:v>46344</x:v>
      </x:c>
      <x:c r="J412" s="42" t="n">
        <x:f>INDEX('Sprint Plan'!$E$9:$E$20,MATCH(B412,'Sprint Plan'!$A$9:$A$20,0))</x:f>
        <x:v>46357</x:v>
      </x:c>
      <x:c r="K412" s="28" t="str">
        <x:v>TBD</x:v>
      </x:c>
      <x:c r="L412" s="28" t="str">
        <x:v>Not Started</x:v>
      </x:c>
      <x:c r="M412" s="43" t="n">
        <x:v>0</x:v>
      </x:c>
      <x:c r="N412" s="28" t="n">
        <x:v>1</x:v>
      </x:c>
      <x:c r="O412" s="28" t="str"/>
      <x:c r="P412" s="28" t="str"/>
      <x:c r="Q412" s="28" t="str"/>
      <x:c r="R412" s="28" t="str"/>
      <x:c r="S412" s="28" t="str">
        <x:v>High</x:v>
      </x:c>
      <x:c r="T412" s="28" t="str">
        <x:f>IF(L412="Done","Green",IF(L412="Blocked","Red",IF(TODAY()&gt;J412,"Red",IF(M412&gt;=0.6,"Yellow","Green"))))</x:f>
        <x:v>Green</x:v>
      </x:c>
      <x:c r="U412" s="28" t="str"/>
    </x:row>
    <x:row r="413">
      <x:c r="A413" s="28" t="str">
        <x:v>SV-10-0411</x:v>
      </x:c>
      <x:c r="B413" s="28" t="str">
        <x:v>Sprint 10</x:v>
      </x:c>
      <x:c r="C413" s="28" t="str">
        <x:v>Month 6</x:v>
      </x:c>
      <x:c r="D413" s="28" t="str">
        <x:v>Technical Writer</x:v>
      </x:c>
      <x:c r="E413" s="28" t="str">
        <x:v>Release</x:v>
      </x:c>
      <x:c r="F413" s="28" t="str">
        <x:v>Release notes</x:v>
      </x:c>
      <x:c r="G413" s="28" t="str">
        <x:v>Release note</x:v>
      </x:c>
      <x:c r="H413" s="28" t="str">
        <x:v>Critical</x:v>
      </x:c>
      <x:c r="I413" s="42" t="n">
        <x:f>INDEX('Sprint Plan'!$D$9:$D$20,MATCH(B413,'Sprint Plan'!$A$9:$A$20,0))</x:f>
        <x:v>46344</x:v>
      </x:c>
      <x:c r="J413" s="42" t="n">
        <x:f>INDEX('Sprint Plan'!$E$9:$E$20,MATCH(B413,'Sprint Plan'!$A$9:$A$20,0))</x:f>
        <x:v>46357</x:v>
      </x:c>
      <x:c r="K413" s="28" t="str">
        <x:v>TBD</x:v>
      </x:c>
      <x:c r="L413" s="28" t="str">
        <x:v>Not Started</x:v>
      </x:c>
      <x:c r="M413" s="43" t="n">
        <x:v>0</x:v>
      </x:c>
      <x:c r="N413" s="28" t="n">
        <x:v>1</x:v>
      </x:c>
      <x:c r="O413" s="28" t="str"/>
      <x:c r="P413" s="28" t="str"/>
      <x:c r="Q413" s="28" t="str"/>
      <x:c r="R413" s="28" t="str"/>
      <x:c r="S413" s="28" t="str">
        <x:v>High</x:v>
      </x:c>
      <x:c r="T413" s="28" t="str">
        <x:f>IF(L413="Done","Green",IF(L413="Blocked","Red",IF(TODAY()&gt;J413,"Red",IF(M413&gt;=0.6,"Yellow","Green"))))</x:f>
        <x:v>Green</x:v>
      </x:c>
      <x:c r="U413" s="28" t="str"/>
    </x:row>
    <x:row r="414">
      <x:c r="A414" s="28" t="str">
        <x:v>SV-10-0412</x:v>
      </x:c>
      <x:c r="B414" s="28" t="str">
        <x:v>Sprint 10</x:v>
      </x:c>
      <x:c r="C414" s="28" t="str">
        <x:v>Month 6</x:v>
      </x:c>
      <x:c r="D414" s="28" t="str">
        <x:v>Sales/Marketing/Presales</x:v>
      </x:c>
      <x:c r="E414" s="28" t="str">
        <x:v>POC Package</x:v>
      </x:c>
      <x:c r="F414" s="28" t="str">
        <x:v>Buat POC commercial package</x:v>
      </x:c>
      <x:c r="G414" s="28" t="str">
        <x:v>POC package</x:v>
      </x:c>
      <x:c r="H414" s="28" t="str">
        <x:v>Critical</x:v>
      </x:c>
      <x:c r="I414" s="42" t="n">
        <x:f>INDEX('Sprint Plan'!$D$9:$D$20,MATCH(B414,'Sprint Plan'!$A$9:$A$20,0))</x:f>
        <x:v>46344</x:v>
      </x:c>
      <x:c r="J414" s="42" t="n">
        <x:f>INDEX('Sprint Plan'!$E$9:$E$20,MATCH(B414,'Sprint Plan'!$A$9:$A$20,0))</x:f>
        <x:v>46357</x:v>
      </x:c>
      <x:c r="K414" s="28" t="str">
        <x:v>TBD</x:v>
      </x:c>
      <x:c r="L414" s="28" t="str">
        <x:v>Not Started</x:v>
      </x:c>
      <x:c r="M414" s="43" t="n">
        <x:v>0</x:v>
      </x:c>
      <x:c r="N414" s="28" t="n">
        <x:v>1</x:v>
      </x:c>
      <x:c r="O414" s="28" t="str"/>
      <x:c r="P414" s="28" t="str"/>
      <x:c r="Q414" s="28" t="str"/>
      <x:c r="R414" s="28" t="str"/>
      <x:c r="S414" s="28" t="str">
        <x:v>High</x:v>
      </x:c>
      <x:c r="T414" s="28" t="str">
        <x:f>IF(L414="Done","Green",IF(L414="Blocked","Red",IF(TODAY()&gt;J414,"Red",IF(M414&gt;=0.6,"Yellow","Green"))))</x:f>
        <x:v>Green</x:v>
      </x:c>
      <x:c r="U414" s="28" t="str"/>
    </x:row>
    <x:row r="415">
      <x:c r="A415" s="28" t="str">
        <x:v>SV-10-0413</x:v>
      </x:c>
      <x:c r="B415" s="28" t="str">
        <x:v>Sprint 10</x:v>
      </x:c>
      <x:c r="C415" s="28" t="str">
        <x:v>Month 6</x:v>
      </x:c>
      <x:c r="D415" s="28" t="str">
        <x:v>Sales/Marketing/Presales</x:v>
      </x:c>
      <x:c r="E415" s="28" t="str">
        <x:v>RAB</x:v>
      </x:c>
      <x:c r="F415" s="28" t="str">
        <x:v>Buat RAB template customer</x:v>
      </x:c>
      <x:c r="G415" s="28" t="str">
        <x:v>RAB template</x:v>
      </x:c>
      <x:c r="H415" s="28" t="str">
        <x:v>Critical</x:v>
      </x:c>
      <x:c r="I415" s="42" t="n">
        <x:f>INDEX('Sprint Plan'!$D$9:$D$20,MATCH(B415,'Sprint Plan'!$A$9:$A$20,0))</x:f>
        <x:v>46344</x:v>
      </x:c>
      <x:c r="J415" s="42" t="n">
        <x:f>INDEX('Sprint Plan'!$E$9:$E$20,MATCH(B415,'Sprint Plan'!$A$9:$A$20,0))</x:f>
        <x:v>46357</x:v>
      </x:c>
      <x:c r="K415" s="28" t="str">
        <x:v>TBD</x:v>
      </x:c>
      <x:c r="L415" s="28" t="str">
        <x:v>Not Started</x:v>
      </x:c>
      <x:c r="M415" s="43" t="n">
        <x:v>0</x:v>
      </x:c>
      <x:c r="N415" s="28" t="n">
        <x:v>1</x:v>
      </x:c>
      <x:c r="O415" s="28" t="str"/>
      <x:c r="P415" s="28" t="str"/>
      <x:c r="Q415" s="28" t="str"/>
      <x:c r="R415" s="28" t="str"/>
      <x:c r="S415" s="28" t="str">
        <x:v>High</x:v>
      </x:c>
      <x:c r="T415" s="28" t="str">
        <x:f>IF(L415="Done","Green",IF(L415="Blocked","Red",IF(TODAY()&gt;J415,"Red",IF(M415&gt;=0.6,"Yellow","Green"))))</x:f>
        <x:v>Green</x:v>
      </x:c>
      <x:c r="U415" s="28" t="str"/>
    </x:row>
    <x:row r="416">
      <x:c r="A416" s="28" t="str">
        <x:v>SV-10-0414</x:v>
      </x:c>
      <x:c r="B416" s="28" t="str">
        <x:v>Sprint 10</x:v>
      </x:c>
      <x:c r="C416" s="28" t="str">
        <x:v>Month 6</x:v>
      </x:c>
      <x:c r="D416" s="28" t="str">
        <x:v>Sales/Marketing/Presales</x:v>
      </x:c>
      <x:c r="E416" s="28" t="str">
        <x:v>Proposal</x:v>
      </x:c>
      <x:c r="F416" s="28" t="str">
        <x:v>Buat proposal template</x:v>
      </x:c>
      <x:c r="G416" s="28" t="str">
        <x:v>Proposal</x:v>
      </x:c>
      <x:c r="H416" s="28" t="str">
        <x:v>Critical</x:v>
      </x:c>
      <x:c r="I416" s="42" t="n">
        <x:f>INDEX('Sprint Plan'!$D$9:$D$20,MATCH(B416,'Sprint Plan'!$A$9:$A$20,0))</x:f>
        <x:v>46344</x:v>
      </x:c>
      <x:c r="J416" s="42" t="n">
        <x:f>INDEX('Sprint Plan'!$E$9:$E$20,MATCH(B416,'Sprint Plan'!$A$9:$A$20,0))</x:f>
        <x:v>46357</x:v>
      </x:c>
      <x:c r="K416" s="28" t="str">
        <x:v>TBD</x:v>
      </x:c>
      <x:c r="L416" s="28" t="str">
        <x:v>Not Started</x:v>
      </x:c>
      <x:c r="M416" s="43" t="n">
        <x:v>0</x:v>
      </x:c>
      <x:c r="N416" s="28" t="n">
        <x:v>1</x:v>
      </x:c>
      <x:c r="O416" s="28" t="str"/>
      <x:c r="P416" s="28" t="str"/>
      <x:c r="Q416" s="28" t="str"/>
      <x:c r="R416" s="28" t="str"/>
      <x:c r="S416" s="28" t="str">
        <x:v>High</x:v>
      </x:c>
      <x:c r="T416" s="28" t="str">
        <x:f>IF(L416="Done","Green",IF(L416="Blocked","Red",IF(TODAY()&gt;J416,"Red",IF(M416&gt;=0.6,"Yellow","Green"))))</x:f>
        <x:v>Green</x:v>
      </x:c>
      <x:c r="U416" s="28" t="str"/>
    </x:row>
    <x:row r="417">
      <x:c r="A417" s="28" t="str">
        <x:v>SV-10-0415</x:v>
      </x:c>
      <x:c r="B417" s="28" t="str">
        <x:v>Sprint 10</x:v>
      </x:c>
      <x:c r="C417" s="28" t="str">
        <x:v>Month 6</x:v>
      </x:c>
      <x:c r="D417" s="28" t="str">
        <x:v>Sales/Marketing/Presales</x:v>
      </x:c>
      <x:c r="E417" s="28" t="str">
        <x:v>SOW</x:v>
      </x:c>
      <x:c r="F417" s="28" t="str">
        <x:v>Buat Statement of Work POC</x:v>
      </x:c>
      <x:c r="G417" s="28" t="str">
        <x:v>SOW</x:v>
      </x:c>
      <x:c r="H417" s="28" t="str">
        <x:v>Critical</x:v>
      </x:c>
      <x:c r="I417" s="42" t="n">
        <x:f>INDEX('Sprint Plan'!$D$9:$D$20,MATCH(B417,'Sprint Plan'!$A$9:$A$20,0))</x:f>
        <x:v>46344</x:v>
      </x:c>
      <x:c r="J417" s="42" t="n">
        <x:f>INDEX('Sprint Plan'!$E$9:$E$20,MATCH(B417,'Sprint Plan'!$A$9:$A$20,0))</x:f>
        <x:v>46357</x:v>
      </x:c>
      <x:c r="K417" s="28" t="str">
        <x:v>TBD</x:v>
      </x:c>
      <x:c r="L417" s="28" t="str">
        <x:v>Not Started</x:v>
      </x:c>
      <x:c r="M417" s="43" t="n">
        <x:v>0</x:v>
      </x:c>
      <x:c r="N417" s="28" t="n">
        <x:v>1</x:v>
      </x:c>
      <x:c r="O417" s="28" t="str"/>
      <x:c r="P417" s="28" t="str"/>
      <x:c r="Q417" s="28" t="str"/>
      <x:c r="R417" s="28" t="str"/>
      <x:c r="S417" s="28" t="str">
        <x:v>High</x:v>
      </x:c>
      <x:c r="T417" s="28" t="str">
        <x:f>IF(L417="Done","Green",IF(L417="Blocked","Red",IF(TODAY()&gt;J417,"Red",IF(M417&gt;=0.6,"Yellow","Green"))))</x:f>
        <x:v>Green</x:v>
      </x:c>
      <x:c r="U417" s="28" t="str"/>
    </x:row>
    <x:row r="418">
      <x:c r="A418" s="28" t="str">
        <x:v>SV-10-0416</x:v>
      </x:c>
      <x:c r="B418" s="28" t="str">
        <x:v>Sprint 10</x:v>
      </x:c>
      <x:c r="C418" s="28" t="str">
        <x:v>Month 6</x:v>
      </x:c>
      <x:c r="D418" s="28" t="str">
        <x:v>Sales/Marketing/Presales</x:v>
      </x:c>
      <x:c r="E418" s="28" t="str">
        <x:v>SLA</x:v>
      </x:c>
      <x:c r="F418" s="28" t="str">
        <x:v>Buat SLA draft and onboarding checklist</x:v>
      </x:c>
      <x:c r="G418" s="28" t="str">
        <x:v>SLA/onboarding</x:v>
      </x:c>
      <x:c r="H418" s="28" t="str">
        <x:v>Critical</x:v>
      </x:c>
      <x:c r="I418" s="42" t="n">
        <x:f>INDEX('Sprint Plan'!$D$9:$D$20,MATCH(B418,'Sprint Plan'!$A$9:$A$20,0))</x:f>
        <x:v>46344</x:v>
      </x:c>
      <x:c r="J418" s="42" t="n">
        <x:f>INDEX('Sprint Plan'!$E$9:$E$20,MATCH(B418,'Sprint Plan'!$A$9:$A$20,0))</x:f>
        <x:v>46357</x:v>
      </x:c>
      <x:c r="K418" s="28" t="str">
        <x:v>TBD</x:v>
      </x:c>
      <x:c r="L418" s="28" t="str">
        <x:v>Not Started</x:v>
      </x:c>
      <x:c r="M418" s="43" t="n">
        <x:v>0</x:v>
      </x:c>
      <x:c r="N418" s="28" t="n">
        <x:v>1</x:v>
      </x:c>
      <x:c r="O418" s="28" t="str"/>
      <x:c r="P418" s="28" t="str"/>
      <x:c r="Q418" s="28" t="str"/>
      <x:c r="R418" s="28" t="str"/>
      <x:c r="S418" s="28" t="str">
        <x:v>High</x:v>
      </x:c>
      <x:c r="T418" s="28" t="str">
        <x:f>IF(L418="Done","Green",IF(L418="Blocked","Red",IF(TODAY()&gt;J418,"Red",IF(M418&gt;=0.6,"Yellow","Green"))))</x:f>
        <x:v>Green</x:v>
      </x:c>
      <x:c r="U418" s="28" t="str"/>
    </x:row>
    <x:row r="419">
      <x:c r="A419" s="28" t="str">
        <x:v>SV-11-0417</x:v>
      </x:c>
      <x:c r="B419" s="28" t="str">
        <x:v>Sprint 11</x:v>
      </x:c>
      <x:c r="C419" s="28" t="str">
        <x:v>Month 6</x:v>
      </x:c>
      <x:c r="D419" s="28" t="str">
        <x:v>Product Owner</x:v>
      </x:c>
      <x:c r="E419" s="28" t="str">
        <x:v>Scope</x:v>
      </x:c>
      <x:c r="F419" s="28" t="str">
        <x:v>Final review scope POC</x:v>
      </x:c>
      <x:c r="G419" s="28" t="str">
        <x:v>Scope sign-off</x:v>
      </x:c>
      <x:c r="H419" s="28" t="str">
        <x:v>Critical</x:v>
      </x:c>
      <x:c r="I419" s="42" t="n">
        <x:f>INDEX('Sprint Plan'!$D$9:$D$20,MATCH(B419,'Sprint Plan'!$A$9:$A$20,0))</x:f>
        <x:v>46358</x:v>
      </x:c>
      <x:c r="J419" s="42" t="n">
        <x:f>INDEX('Sprint Plan'!$E$9:$E$20,MATCH(B419,'Sprint Plan'!$A$9:$A$20,0))</x:f>
        <x:v>46371</x:v>
      </x:c>
      <x:c r="K419" s="28" t="str">
        <x:v>TBD</x:v>
      </x:c>
      <x:c r="L419" s="28" t="str">
        <x:v>Not Started</x:v>
      </x:c>
      <x:c r="M419" s="43" t="n">
        <x:v>0</x:v>
      </x:c>
      <x:c r="N419" s="28" t="n">
        <x:v>1</x:v>
      </x:c>
      <x:c r="O419" s="28" t="str"/>
      <x:c r="P419" s="28" t="str"/>
      <x:c r="Q419" s="28" t="str"/>
      <x:c r="R419" s="28" t="str"/>
      <x:c r="S419" s="28" t="str">
        <x:v>High</x:v>
      </x:c>
      <x:c r="T419" s="28" t="str">
        <x:f>IF(L419="Done","Green",IF(L419="Blocked","Red",IF(TODAY()&gt;J419,"Red",IF(M419&gt;=0.6,"Yellow","Green"))))</x:f>
        <x:v>Green</x:v>
      </x:c>
      <x:c r="U419" s="28" t="str"/>
    </x:row>
    <x:row r="420">
      <x:c r="A420" s="28" t="str">
        <x:v>SV-11-0418</x:v>
      </x:c>
      <x:c r="B420" s="28" t="str">
        <x:v>Sprint 11</x:v>
      </x:c>
      <x:c r="C420" s="28" t="str">
        <x:v>Month 6</x:v>
      </x:c>
      <x:c r="D420" s="28" t="str">
        <x:v>Product Owner</x:v>
      </x:c>
      <x:c r="E420" s="28" t="str">
        <x:v>Acceptance</x:v>
      </x:c>
      <x:c r="F420" s="28" t="str">
        <x:v>Review success criteria</x:v>
      </x:c>
      <x:c r="G420" s="28" t="str">
        <x:v>Acceptance review</x:v>
      </x:c>
      <x:c r="H420" s="28" t="str">
        <x:v>Critical</x:v>
      </x:c>
      <x:c r="I420" s="42" t="n">
        <x:f>INDEX('Sprint Plan'!$D$9:$D$20,MATCH(B420,'Sprint Plan'!$A$9:$A$20,0))</x:f>
        <x:v>46358</x:v>
      </x:c>
      <x:c r="J420" s="42" t="n">
        <x:f>INDEX('Sprint Plan'!$E$9:$E$20,MATCH(B420,'Sprint Plan'!$A$9:$A$20,0))</x:f>
        <x:v>46371</x:v>
      </x:c>
      <x:c r="K420" s="28" t="str">
        <x:v>TBD</x:v>
      </x:c>
      <x:c r="L420" s="28" t="str">
        <x:v>Not Started</x:v>
      </x:c>
      <x:c r="M420" s="43" t="n">
        <x:v>0</x:v>
      </x:c>
      <x:c r="N420" s="28" t="n">
        <x:v>1</x:v>
      </x:c>
      <x:c r="O420" s="28" t="str"/>
      <x:c r="P420" s="28" t="str"/>
      <x:c r="Q420" s="28" t="str"/>
      <x:c r="R420" s="28" t="str"/>
      <x:c r="S420" s="28" t="str">
        <x:v>High</x:v>
      </x:c>
      <x:c r="T420" s="28" t="str">
        <x:f>IF(L420="Done","Green",IF(L420="Blocked","Red",IF(TODAY()&gt;J420,"Red",IF(M420&gt;=0.6,"Yellow","Green"))))</x:f>
        <x:v>Green</x:v>
      </x:c>
      <x:c r="U420" s="28" t="str"/>
    </x:row>
    <x:row r="421">
      <x:c r="A421" s="28" t="str">
        <x:v>SV-11-0419</x:v>
      </x:c>
      <x:c r="B421" s="28" t="str">
        <x:v>Sprint 11</x:v>
      </x:c>
      <x:c r="C421" s="28" t="str">
        <x:v>Month 6</x:v>
      </x:c>
      <x:c r="D421" s="28" t="str">
        <x:v>Product Owner</x:v>
      </x:c>
      <x:c r="E421" s="28" t="str">
        <x:v>Release</x:v>
      </x:c>
      <x:c r="F421" s="28" t="str">
        <x:v>Buat release checklist</x:v>
      </x:c>
      <x:c r="G421" s="28" t="str">
        <x:v>Release checklist</x:v>
      </x:c>
      <x:c r="H421" s="28" t="str">
        <x:v>Critical</x:v>
      </x:c>
      <x:c r="I421" s="42" t="n">
        <x:f>INDEX('Sprint Plan'!$D$9:$D$20,MATCH(B421,'Sprint Plan'!$A$9:$A$20,0))</x:f>
        <x:v>46358</x:v>
      </x:c>
      <x:c r="J421" s="42" t="n">
        <x:f>INDEX('Sprint Plan'!$E$9:$E$20,MATCH(B421,'Sprint Plan'!$A$9:$A$20,0))</x:f>
        <x:v>46371</x:v>
      </x:c>
      <x:c r="K421" s="28" t="str">
        <x:v>TBD</x:v>
      </x:c>
      <x:c r="L421" s="28" t="str">
        <x:v>Not Started</x:v>
      </x:c>
      <x:c r="M421" s="43" t="n">
        <x:v>0</x:v>
      </x:c>
      <x:c r="N421" s="28" t="n">
        <x:v>1</x:v>
      </x:c>
      <x:c r="O421" s="28" t="str"/>
      <x:c r="P421" s="28" t="str"/>
      <x:c r="Q421" s="28" t="str"/>
      <x:c r="R421" s="28" t="str"/>
      <x:c r="S421" s="28" t="str">
        <x:v>High</x:v>
      </x:c>
      <x:c r="T421" s="28" t="str">
        <x:f>IF(L421="Done","Green",IF(L421="Blocked","Red",IF(TODAY()&gt;J421,"Red",IF(M421&gt;=0.6,"Yellow","Green"))))</x:f>
        <x:v>Green</x:v>
      </x:c>
      <x:c r="U421" s="28" t="str"/>
    </x:row>
    <x:row r="422">
      <x:c r="A422" s="28" t="str">
        <x:v>SV-11-0420</x:v>
      </x:c>
      <x:c r="B422" s="28" t="str">
        <x:v>Sprint 11</x:v>
      </x:c>
      <x:c r="C422" s="28" t="str">
        <x:v>Month 6</x:v>
      </x:c>
      <x:c r="D422" s="28" t="str">
        <x:v>Product Owner</x:v>
      </x:c>
      <x:c r="E422" s="28" t="str">
        <x:v>Demo</x:v>
      </x:c>
      <x:c r="F422" s="28" t="str">
        <x:v>Koordinasi demo internal</x:v>
      </x:c>
      <x:c r="G422" s="28" t="str">
        <x:v>Demo plan</x:v>
      </x:c>
      <x:c r="H422" s="28" t="str">
        <x:v>Critical</x:v>
      </x:c>
      <x:c r="I422" s="42" t="n">
        <x:f>INDEX('Sprint Plan'!$D$9:$D$20,MATCH(B422,'Sprint Plan'!$A$9:$A$20,0))</x:f>
        <x:v>46358</x:v>
      </x:c>
      <x:c r="J422" s="42" t="n">
        <x:f>INDEX('Sprint Plan'!$E$9:$E$20,MATCH(B422,'Sprint Plan'!$A$9:$A$20,0))</x:f>
        <x:v>46371</x:v>
      </x:c>
      <x:c r="K422" s="28" t="str">
        <x:v>TBD</x:v>
      </x:c>
      <x:c r="L422" s="28" t="str">
        <x:v>Not Started</x:v>
      </x:c>
      <x:c r="M422" s="43" t="n">
        <x:v>0</x:v>
      </x:c>
      <x:c r="N422" s="28" t="n">
        <x:v>1</x:v>
      </x:c>
      <x:c r="O422" s="28" t="str"/>
      <x:c r="P422" s="28" t="str"/>
      <x:c r="Q422" s="28" t="str"/>
      <x:c r="R422" s="28" t="str"/>
      <x:c r="S422" s="28" t="str">
        <x:v>High</x:v>
      </x:c>
      <x:c r="T422" s="28" t="str">
        <x:f>IF(L422="Done","Green",IF(L422="Blocked","Red",IF(TODAY()&gt;J422,"Red",IF(M422&gt;=0.6,"Yellow","Green"))))</x:f>
        <x:v>Green</x:v>
      </x:c>
      <x:c r="U422" s="28" t="str"/>
    </x:row>
    <x:row r="423">
      <x:c r="A423" s="28" t="str">
        <x:v>SV-11-0421</x:v>
      </x:c>
      <x:c r="B423" s="28" t="str">
        <x:v>Sprint 11</x:v>
      </x:c>
      <x:c r="C423" s="28" t="str">
        <x:v>Month 6</x:v>
      </x:c>
      <x:c r="D423" s="28" t="str">
        <x:v>Product Owner</x:v>
      </x:c>
      <x:c r="E423" s="28" t="str">
        <x:v>Pilot</x:v>
      </x:c>
      <x:c r="F423" s="28" t="str">
        <x:v>Koordinasi pilot candidate</x:v>
      </x:c>
      <x:c r="G423" s="28" t="str">
        <x:v>Pilot plan</x:v>
      </x:c>
      <x:c r="H423" s="28" t="str">
        <x:v>Critical</x:v>
      </x:c>
      <x:c r="I423" s="42" t="n">
        <x:f>INDEX('Sprint Plan'!$D$9:$D$20,MATCH(B423,'Sprint Plan'!$A$9:$A$20,0))</x:f>
        <x:v>46358</x:v>
      </x:c>
      <x:c r="J423" s="42" t="n">
        <x:f>INDEX('Sprint Plan'!$E$9:$E$20,MATCH(B423,'Sprint Plan'!$A$9:$A$20,0))</x:f>
        <x:v>46371</x:v>
      </x:c>
      <x:c r="K423" s="28" t="str">
        <x:v>TBD</x:v>
      </x:c>
      <x:c r="L423" s="28" t="str">
        <x:v>Not Started</x:v>
      </x:c>
      <x:c r="M423" s="43" t="n">
        <x:v>0</x:v>
      </x:c>
      <x:c r="N423" s="28" t="n">
        <x:v>1</x:v>
      </x:c>
      <x:c r="O423" s="28" t="str"/>
      <x:c r="P423" s="28" t="str"/>
      <x:c r="Q423" s="28" t="str"/>
      <x:c r="R423" s="28" t="str"/>
      <x:c r="S423" s="28" t="str">
        <x:v>High</x:v>
      </x:c>
      <x:c r="T423" s="28" t="str">
        <x:f>IF(L423="Done","Green",IF(L423="Blocked","Red",IF(TODAY()&gt;J423,"Red",IF(M423&gt;=0.6,"Yellow","Green"))))</x:f>
        <x:v>Green</x:v>
      </x:c>
      <x:c r="U423" s="28" t="str"/>
    </x:row>
    <x:row r="424">
      <x:c r="A424" s="28" t="str">
        <x:v>SV-11-0422</x:v>
      </x:c>
      <x:c r="B424" s="28" t="str">
        <x:v>Sprint 11</x:v>
      </x:c>
      <x:c r="C424" s="28" t="str">
        <x:v>Month 6</x:v>
      </x:c>
      <x:c r="D424" s="28" t="str">
        <x:v>Solution Architect</x:v>
      </x:c>
      <x:c r="E424" s="28" t="str">
        <x:v>Architecture</x:v>
      </x:c>
      <x:c r="F424" s="28" t="str">
        <x:v>Architecture final review</x:v>
      </x:c>
      <x:c r="G424" s="28" t="str">
        <x:v>Architecture sign-off</x:v>
      </x:c>
      <x:c r="H424" s="28" t="str">
        <x:v>Critical</x:v>
      </x:c>
      <x:c r="I424" s="42" t="n">
        <x:f>INDEX('Sprint Plan'!$D$9:$D$20,MATCH(B424,'Sprint Plan'!$A$9:$A$20,0))</x:f>
        <x:v>46358</x:v>
      </x:c>
      <x:c r="J424" s="42" t="n">
        <x:f>INDEX('Sprint Plan'!$E$9:$E$20,MATCH(B424,'Sprint Plan'!$A$9:$A$20,0))</x:f>
        <x:v>46371</x:v>
      </x:c>
      <x:c r="K424" s="28" t="str">
        <x:v>TBD</x:v>
      </x:c>
      <x:c r="L424" s="28" t="str">
        <x:v>Not Started</x:v>
      </x:c>
      <x:c r="M424" s="43" t="n">
        <x:v>0</x:v>
      </x:c>
      <x:c r="N424" s="28" t="n">
        <x:v>1</x:v>
      </x:c>
      <x:c r="O424" s="28" t="str"/>
      <x:c r="P424" s="28" t="str"/>
      <x:c r="Q424" s="28" t="str"/>
      <x:c r="R424" s="28" t="str"/>
      <x:c r="S424" s="28" t="str">
        <x:v>High</x:v>
      </x:c>
      <x:c r="T424" s="28" t="str">
        <x:f>IF(L424="Done","Green",IF(L424="Blocked","Red",IF(TODAY()&gt;J424,"Red",IF(M424&gt;=0.6,"Yellow","Green"))))</x:f>
        <x:v>Green</x:v>
      </x:c>
      <x:c r="U424" s="28" t="str"/>
    </x:row>
    <x:row r="425">
      <x:c r="A425" s="28" t="str">
        <x:v>SV-11-0423</x:v>
      </x:c>
      <x:c r="B425" s="28" t="str">
        <x:v>Sprint 11</x:v>
      </x:c>
      <x:c r="C425" s="28" t="str">
        <x:v>Month 6</x:v>
      </x:c>
      <x:c r="D425" s="28" t="str">
        <x:v>Solution Architect</x:v>
      </x:c>
      <x:c r="E425" s="28" t="str">
        <x:v>Security</x:v>
      </x:c>
      <x:c r="F425" s="28" t="str">
        <x:v>Security review final</x:v>
      </x:c>
      <x:c r="G425" s="28" t="str">
        <x:v>Security sign-off</x:v>
      </x:c>
      <x:c r="H425" s="28" t="str">
        <x:v>Critical</x:v>
      </x:c>
      <x:c r="I425" s="42" t="n">
        <x:f>INDEX('Sprint Plan'!$D$9:$D$20,MATCH(B425,'Sprint Plan'!$A$9:$A$20,0))</x:f>
        <x:v>46358</x:v>
      </x:c>
      <x:c r="J425" s="42" t="n">
        <x:f>INDEX('Sprint Plan'!$E$9:$E$20,MATCH(B425,'Sprint Plan'!$A$9:$A$20,0))</x:f>
        <x:v>46371</x:v>
      </x:c>
      <x:c r="K425" s="28" t="str">
        <x:v>TBD</x:v>
      </x:c>
      <x:c r="L425" s="28" t="str">
        <x:v>Not Started</x:v>
      </x:c>
      <x:c r="M425" s="43" t="n">
        <x:v>0</x:v>
      </x:c>
      <x:c r="N425" s="28" t="n">
        <x:v>1</x:v>
      </x:c>
      <x:c r="O425" s="28" t="str"/>
      <x:c r="P425" s="28" t="str"/>
      <x:c r="Q425" s="28" t="str"/>
      <x:c r="R425" s="28" t="str"/>
      <x:c r="S425" s="28" t="str">
        <x:v>High</x:v>
      </x:c>
      <x:c r="T425" s="28" t="str">
        <x:f>IF(L425="Done","Green",IF(L425="Blocked","Red",IF(TODAY()&gt;J425,"Red",IF(M425&gt;=0.6,"Yellow","Green"))))</x:f>
        <x:v>Green</x:v>
      </x:c>
      <x:c r="U425" s="28" t="str"/>
    </x:row>
    <x:row r="426">
      <x:c r="A426" s="28" t="str">
        <x:v>SV-11-0424</x:v>
      </x:c>
      <x:c r="B426" s="28" t="str">
        <x:v>Sprint 11</x:v>
      </x:c>
      <x:c r="C426" s="28" t="str">
        <x:v>Month 6</x:v>
      </x:c>
      <x:c r="D426" s="28" t="str">
        <x:v>Solution Architect</x:v>
      </x:c>
      <x:c r="E426" s="28" t="str">
        <x:v>Performance</x:v>
      </x:c>
      <x:c r="F426" s="28" t="str">
        <x:v>Performance review basic</x:v>
      </x:c>
      <x:c r="G426" s="28" t="str">
        <x:v>Performance note</x:v>
      </x:c>
      <x:c r="H426" s="28" t="str">
        <x:v>Critical</x:v>
      </x:c>
      <x:c r="I426" s="42" t="n">
        <x:f>INDEX('Sprint Plan'!$D$9:$D$20,MATCH(B426,'Sprint Plan'!$A$9:$A$20,0))</x:f>
        <x:v>46358</x:v>
      </x:c>
      <x:c r="J426" s="42" t="n">
        <x:f>INDEX('Sprint Plan'!$E$9:$E$20,MATCH(B426,'Sprint Plan'!$A$9:$A$20,0))</x:f>
        <x:v>46371</x:v>
      </x:c>
      <x:c r="K426" s="28" t="str">
        <x:v>TBD</x:v>
      </x:c>
      <x:c r="L426" s="28" t="str">
        <x:v>Not Started</x:v>
      </x:c>
      <x:c r="M426" s="43" t="n">
        <x:v>0</x:v>
      </x:c>
      <x:c r="N426" s="28" t="n">
        <x:v>1</x:v>
      </x:c>
      <x:c r="O426" s="28" t="str"/>
      <x:c r="P426" s="28" t="str"/>
      <x:c r="Q426" s="28" t="str"/>
      <x:c r="R426" s="28" t="str"/>
      <x:c r="S426" s="28" t="str">
        <x:v>High</x:v>
      </x:c>
      <x:c r="T426" s="28" t="str">
        <x:f>IF(L426="Done","Green",IF(L426="Blocked","Red",IF(TODAY()&gt;J426,"Red",IF(M426&gt;=0.6,"Yellow","Green"))))</x:f>
        <x:v>Green</x:v>
      </x:c>
      <x:c r="U426" s="28" t="str"/>
    </x:row>
    <x:row r="427">
      <x:c r="A427" s="28" t="str">
        <x:v>SV-11-0425</x:v>
      </x:c>
      <x:c r="B427" s="28" t="str">
        <x:v>Sprint 11</x:v>
      </x:c>
      <x:c r="C427" s="28" t="str">
        <x:v>Month 6</x:v>
      </x:c>
      <x:c r="D427" s="28" t="str">
        <x:v>Solution Architect</x:v>
      </x:c>
      <x:c r="E427" s="28" t="str">
        <x:v>Risk</x:v>
      </x:c>
      <x:c r="F427" s="28" t="str">
        <x:v>Risk review</x:v>
      </x:c>
      <x:c r="G427" s="28" t="str">
        <x:v>Risk register final</x:v>
      </x:c>
      <x:c r="H427" s="28" t="str">
        <x:v>Critical</x:v>
      </x:c>
      <x:c r="I427" s="42" t="n">
        <x:f>INDEX('Sprint Plan'!$D$9:$D$20,MATCH(B427,'Sprint Plan'!$A$9:$A$20,0))</x:f>
        <x:v>46358</x:v>
      </x:c>
      <x:c r="J427" s="42" t="n">
        <x:f>INDEX('Sprint Plan'!$E$9:$E$20,MATCH(B427,'Sprint Plan'!$A$9:$A$20,0))</x:f>
        <x:v>46371</x:v>
      </x:c>
      <x:c r="K427" s="28" t="str">
        <x:v>TBD</x:v>
      </x:c>
      <x:c r="L427" s="28" t="str">
        <x:v>Not Started</x:v>
      </x:c>
      <x:c r="M427" s="43" t="n">
        <x:v>0</x:v>
      </x:c>
      <x:c r="N427" s="28" t="n">
        <x:v>1</x:v>
      </x:c>
      <x:c r="O427" s="28" t="str"/>
      <x:c r="P427" s="28" t="str"/>
      <x:c r="Q427" s="28" t="str"/>
      <x:c r="R427" s="28" t="str"/>
      <x:c r="S427" s="28" t="str">
        <x:v>High</x:v>
      </x:c>
      <x:c r="T427" s="28" t="str">
        <x:f>IF(L427="Done","Green",IF(L427="Blocked","Red",IF(TODAY()&gt;J427,"Red",IF(M427&gt;=0.6,"Yellow","Green"))))</x:f>
        <x:v>Green</x:v>
      </x:c>
      <x:c r="U427" s="28" t="str"/>
    </x:row>
    <x:row r="428">
      <x:c r="A428" s="28" t="str">
        <x:v>SV-11-0426</x:v>
      </x:c>
      <x:c r="B428" s="28" t="str">
        <x:v>Sprint 11</x:v>
      </x:c>
      <x:c r="C428" s="28" t="str">
        <x:v>Month 6</x:v>
      </x:c>
      <x:c r="D428" s="28" t="str">
        <x:v>Solution Architect</x:v>
      </x:c>
      <x:c r="E428" s="28" t="str">
        <x:v>Roadmap</x:v>
      </x:c>
      <x:c r="F428" s="28" t="str">
        <x:v>Roadmap next phase</x:v>
      </x:c>
      <x:c r="G428" s="28" t="str">
        <x:v>Roadmap v2</x:v>
      </x:c>
      <x:c r="H428" s="28" t="str">
        <x:v>Critical</x:v>
      </x:c>
      <x:c r="I428" s="42" t="n">
        <x:f>INDEX('Sprint Plan'!$D$9:$D$20,MATCH(B428,'Sprint Plan'!$A$9:$A$20,0))</x:f>
        <x:v>46358</x:v>
      </x:c>
      <x:c r="J428" s="42" t="n">
        <x:f>INDEX('Sprint Plan'!$E$9:$E$20,MATCH(B428,'Sprint Plan'!$A$9:$A$20,0))</x:f>
        <x:v>46371</x:v>
      </x:c>
      <x:c r="K428" s="28" t="str">
        <x:v>TBD</x:v>
      </x:c>
      <x:c r="L428" s="28" t="str">
        <x:v>Not Started</x:v>
      </x:c>
      <x:c r="M428" s="43" t="n">
        <x:v>0</x:v>
      </x:c>
      <x:c r="N428" s="28" t="n">
        <x:v>1</x:v>
      </x:c>
      <x:c r="O428" s="28" t="str"/>
      <x:c r="P428" s="28" t="str"/>
      <x:c r="Q428" s="28" t="str"/>
      <x:c r="R428" s="28" t="str"/>
      <x:c r="S428" s="28" t="str">
        <x:v>High</x:v>
      </x:c>
      <x:c r="T428" s="28" t="str">
        <x:f>IF(L428="Done","Green",IF(L428="Blocked","Red",IF(TODAY()&gt;J428,"Red",IF(M428&gt;=0.6,"Yellow","Green"))))</x:f>
        <x:v>Green</x:v>
      </x:c>
      <x:c r="U428" s="28" t="str"/>
    </x:row>
    <x:row r="429">
      <x:c r="A429" s="28" t="str">
        <x:v>SV-11-0427</x:v>
      </x:c>
      <x:c r="B429" s="28" t="str">
        <x:v>Sprint 11</x:v>
      </x:c>
      <x:c r="C429" s="28" t="str">
        <x:v>Month 6</x:v>
      </x:c>
      <x:c r="D429" s="28" t="str">
        <x:v>Infra/OpenNebula Engineer</x:v>
      </x:c>
      <x:c r="E429" s="28" t="str">
        <x:v>Lab</x:v>
      </x:c>
      <x:c r="F429" s="28" t="str">
        <x:v>Stabilkan lab demo</x:v>
      </x:c>
      <x:c r="G429" s="28" t="str">
        <x:v>Stable lab</x:v>
      </x:c>
      <x:c r="H429" s="28" t="str">
        <x:v>Critical</x:v>
      </x:c>
      <x:c r="I429" s="42" t="n">
        <x:f>INDEX('Sprint Plan'!$D$9:$D$20,MATCH(B429,'Sprint Plan'!$A$9:$A$20,0))</x:f>
        <x:v>46358</x:v>
      </x:c>
      <x:c r="J429" s="42" t="n">
        <x:f>INDEX('Sprint Plan'!$E$9:$E$20,MATCH(B429,'Sprint Plan'!$A$9:$A$20,0))</x:f>
        <x:v>46371</x:v>
      </x:c>
      <x:c r="K429" s="28" t="str">
        <x:v>TBD</x:v>
      </x:c>
      <x:c r="L429" s="28" t="str">
        <x:v>Not Started</x:v>
      </x:c>
      <x:c r="M429" s="43" t="n">
        <x:v>0</x:v>
      </x:c>
      <x:c r="N429" s="28" t="n">
        <x:v>1</x:v>
      </x:c>
      <x:c r="O429" s="28" t="str"/>
      <x:c r="P429" s="28" t="str"/>
      <x:c r="Q429" s="28" t="str"/>
      <x:c r="R429" s="28" t="str"/>
      <x:c r="S429" s="28" t="str">
        <x:v>High</x:v>
      </x:c>
      <x:c r="T429" s="28" t="str">
        <x:f>IF(L429="Done","Green",IF(L429="Blocked","Red",IF(TODAY()&gt;J429,"Red",IF(M429&gt;=0.6,"Yellow","Green"))))</x:f>
        <x:v>Green</x:v>
      </x:c>
      <x:c r="U429" s="28" t="str"/>
    </x:row>
    <x:row r="430">
      <x:c r="A430" s="28" t="str">
        <x:v>SV-11-0428</x:v>
      </x:c>
      <x:c r="B430" s="28" t="str">
        <x:v>Sprint 11</x:v>
      </x:c>
      <x:c r="C430" s="28" t="str">
        <x:v>Month 6</x:v>
      </x:c>
      <x:c r="D430" s="28" t="str">
        <x:v>Infra/OpenNebula Engineer</x:v>
      </x:c>
      <x:c r="E430" s="28" t="str">
        <x:v>Snapshot</x:v>
      </x:c>
      <x:c r="F430" s="28" t="str">
        <x:v>Snapshot environment</x:v>
      </x:c>
      <x:c r="G430" s="28" t="str">
        <x:v>Recovery point</x:v>
      </x:c>
      <x:c r="H430" s="28" t="str">
        <x:v>Critical</x:v>
      </x:c>
      <x:c r="I430" s="42" t="n">
        <x:f>INDEX('Sprint Plan'!$D$9:$D$20,MATCH(B430,'Sprint Plan'!$A$9:$A$20,0))</x:f>
        <x:v>46358</x:v>
      </x:c>
      <x:c r="J430" s="42" t="n">
        <x:f>INDEX('Sprint Plan'!$E$9:$E$20,MATCH(B430,'Sprint Plan'!$A$9:$A$20,0))</x:f>
        <x:v>46371</x:v>
      </x:c>
      <x:c r="K430" s="28" t="str">
        <x:v>TBD</x:v>
      </x:c>
      <x:c r="L430" s="28" t="str">
        <x:v>Not Started</x:v>
      </x:c>
      <x:c r="M430" s="43" t="n">
        <x:v>0</x:v>
      </x:c>
      <x:c r="N430" s="28" t="n">
        <x:v>1</x:v>
      </x:c>
      <x:c r="O430" s="28" t="str"/>
      <x:c r="P430" s="28" t="str"/>
      <x:c r="Q430" s="28" t="str"/>
      <x:c r="R430" s="28" t="str"/>
      <x:c r="S430" s="28" t="str">
        <x:v>High</x:v>
      </x:c>
      <x:c r="T430" s="28" t="str">
        <x:f>IF(L430="Done","Green",IF(L430="Blocked","Red",IF(TODAY()&gt;J430,"Red",IF(M430&gt;=0.6,"Yellow","Green"))))</x:f>
        <x:v>Green</x:v>
      </x:c>
      <x:c r="U430" s="28" t="str"/>
    </x:row>
    <x:row r="431">
      <x:c r="A431" s="28" t="str">
        <x:v>SV-11-0429</x:v>
      </x:c>
      <x:c r="B431" s="28" t="str">
        <x:v>Sprint 11</x:v>
      </x:c>
      <x:c r="C431" s="28" t="str">
        <x:v>Month 6</x:v>
      </x:c>
      <x:c r="D431" s="28" t="str">
        <x:v>Infra/OpenNebula Engineer</x:v>
      </x:c>
      <x:c r="E431" s="28" t="str">
        <x:v>Health</x:v>
      </x:c>
      <x:c r="F431" s="28" t="str">
        <x:v>Run health check</x:v>
      </x:c>
      <x:c r="G431" s="28" t="str">
        <x:v>Health report</x:v>
      </x:c>
      <x:c r="H431" s="28" t="str">
        <x:v>Critical</x:v>
      </x:c>
      <x:c r="I431" s="42" t="n">
        <x:f>INDEX('Sprint Plan'!$D$9:$D$20,MATCH(B431,'Sprint Plan'!$A$9:$A$20,0))</x:f>
        <x:v>46358</x:v>
      </x:c>
      <x:c r="J431" s="42" t="n">
        <x:f>INDEX('Sprint Plan'!$E$9:$E$20,MATCH(B431,'Sprint Plan'!$A$9:$A$20,0))</x:f>
        <x:v>46371</x:v>
      </x:c>
      <x:c r="K431" s="28" t="str">
        <x:v>TBD</x:v>
      </x:c>
      <x:c r="L431" s="28" t="str">
        <x:v>Not Started</x:v>
      </x:c>
      <x:c r="M431" s="43" t="n">
        <x:v>0</x:v>
      </x:c>
      <x:c r="N431" s="28" t="n">
        <x:v>1</x:v>
      </x:c>
      <x:c r="O431" s="28" t="str"/>
      <x:c r="P431" s="28" t="str"/>
      <x:c r="Q431" s="28" t="str"/>
      <x:c r="R431" s="28" t="str"/>
      <x:c r="S431" s="28" t="str">
        <x:v>High</x:v>
      </x:c>
      <x:c r="T431" s="28" t="str">
        <x:f>IF(L431="Done","Green",IF(L431="Blocked","Red",IF(TODAY()&gt;J431,"Red",IF(M431&gt;=0.6,"Yellow","Green"))))</x:f>
        <x:v>Green</x:v>
      </x:c>
      <x:c r="U431" s="28" t="str"/>
    </x:row>
    <x:row r="432">
      <x:c r="A432" s="28" t="str">
        <x:v>SV-11-0430</x:v>
      </x:c>
      <x:c r="B432" s="28" t="str">
        <x:v>Sprint 11</x:v>
      </x:c>
      <x:c r="C432" s="28" t="str">
        <x:v>Month 6</x:v>
      </x:c>
      <x:c r="D432" s="28" t="str">
        <x:v>Infra/OpenNebula Engineer</x:v>
      </x:c>
      <x:c r="E432" s="28" t="str">
        <x:v>Workload</x:v>
      </x:c>
      <x:c r="F432" s="28" t="str">
        <x:v>Prepare demo workload</x:v>
      </x:c>
      <x:c r="G432" s="28" t="str">
        <x:v>Demo workloads</x:v>
      </x:c>
      <x:c r="H432" s="28" t="str">
        <x:v>Critical</x:v>
      </x:c>
      <x:c r="I432" s="42" t="n">
        <x:f>INDEX('Sprint Plan'!$D$9:$D$20,MATCH(B432,'Sprint Plan'!$A$9:$A$20,0))</x:f>
        <x:v>46358</x:v>
      </x:c>
      <x:c r="J432" s="42" t="n">
        <x:f>INDEX('Sprint Plan'!$E$9:$E$20,MATCH(B432,'Sprint Plan'!$A$9:$A$20,0))</x:f>
        <x:v>46371</x:v>
      </x:c>
      <x:c r="K432" s="28" t="str">
        <x:v>TBD</x:v>
      </x:c>
      <x:c r="L432" s="28" t="str">
        <x:v>Not Started</x:v>
      </x:c>
      <x:c r="M432" s="43" t="n">
        <x:v>0</x:v>
      </x:c>
      <x:c r="N432" s="28" t="n">
        <x:v>1</x:v>
      </x:c>
      <x:c r="O432" s="28" t="str"/>
      <x:c r="P432" s="28" t="str"/>
      <x:c r="Q432" s="28" t="str"/>
      <x:c r="R432" s="28" t="str"/>
      <x:c r="S432" s="28" t="str">
        <x:v>High</x:v>
      </x:c>
      <x:c r="T432" s="28" t="str">
        <x:f>IF(L432="Done","Green",IF(L432="Blocked","Red",IF(TODAY()&gt;J432,"Red",IF(M432&gt;=0.6,"Yellow","Green"))))</x:f>
        <x:v>Green</x:v>
      </x:c>
      <x:c r="U432" s="28" t="str"/>
    </x:row>
    <x:row r="433">
      <x:c r="A433" s="28" t="str">
        <x:v>SV-11-0431</x:v>
      </x:c>
      <x:c r="B433" s="28" t="str">
        <x:v>Sprint 11</x:v>
      </x:c>
      <x:c r="C433" s="28" t="str">
        <x:v>Month 6</x:v>
      </x:c>
      <x:c r="D433" s="28" t="str">
        <x:v>Infra/OpenNebula Engineer</x:v>
      </x:c>
      <x:c r="E433" s="28" t="str">
        <x:v>Docs</x:v>
      </x:c>
      <x:c r="F433" s="28" t="str">
        <x:v>Final infra documentation</x:v>
      </x:c>
      <x:c r="G433" s="28" t="str">
        <x:v>Infra docs</x:v>
      </x:c>
      <x:c r="H433" s="28" t="str">
        <x:v>Critical</x:v>
      </x:c>
      <x:c r="I433" s="42" t="n">
        <x:f>INDEX('Sprint Plan'!$D$9:$D$20,MATCH(B433,'Sprint Plan'!$A$9:$A$20,0))</x:f>
        <x:v>46358</x:v>
      </x:c>
      <x:c r="J433" s="42" t="n">
        <x:f>INDEX('Sprint Plan'!$E$9:$E$20,MATCH(B433,'Sprint Plan'!$A$9:$A$20,0))</x:f>
        <x:v>46371</x:v>
      </x:c>
      <x:c r="K433" s="28" t="str">
        <x:v>TBD</x:v>
      </x:c>
      <x:c r="L433" s="28" t="str">
        <x:v>Not Started</x:v>
      </x:c>
      <x:c r="M433" s="43" t="n">
        <x:v>0</x:v>
      </x:c>
      <x:c r="N433" s="28" t="n">
        <x:v>1</x:v>
      </x:c>
      <x:c r="O433" s="28" t="str"/>
      <x:c r="P433" s="28" t="str"/>
      <x:c r="Q433" s="28" t="str"/>
      <x:c r="R433" s="28" t="str"/>
      <x:c r="S433" s="28" t="str">
        <x:v>High</x:v>
      </x:c>
      <x:c r="T433" s="28" t="str">
        <x:f>IF(L433="Done","Green",IF(L433="Blocked","Red",IF(TODAY()&gt;J433,"Red",IF(M433&gt;=0.6,"Yellow","Green"))))</x:f>
        <x:v>Green</x:v>
      </x:c>
      <x:c r="U433" s="28" t="str"/>
    </x:row>
    <x:row r="434">
      <x:c r="A434" s="28" t="str">
        <x:v>SV-11-0432</x:v>
      </x:c>
      <x:c r="B434" s="28" t="str">
        <x:v>Sprint 11</x:v>
      </x:c>
      <x:c r="C434" s="28" t="str">
        <x:v>Month 6</x:v>
      </x:c>
      <x:c r="D434" s="28" t="str">
        <x:v>Backend Engineer</x:v>
      </x:c>
      <x:c r="E434" s="28" t="str">
        <x:v>Bug</x:v>
      </x:c>
      <x:c r="F434" s="28" t="str">
        <x:v>Bug fixing</x:v>
      </x:c>
      <x:c r="G434" s="28" t="str">
        <x:v>Fixed bugs</x:v>
      </x:c>
      <x:c r="H434" s="28" t="str">
        <x:v>Critical</x:v>
      </x:c>
      <x:c r="I434" s="42" t="n">
        <x:f>INDEX('Sprint Plan'!$D$9:$D$20,MATCH(B434,'Sprint Plan'!$A$9:$A$20,0))</x:f>
        <x:v>46358</x:v>
      </x:c>
      <x:c r="J434" s="42" t="n">
        <x:f>INDEX('Sprint Plan'!$E$9:$E$20,MATCH(B434,'Sprint Plan'!$A$9:$A$20,0))</x:f>
        <x:v>46371</x:v>
      </x:c>
      <x:c r="K434" s="28" t="str">
        <x:v>TBD</x:v>
      </x:c>
      <x:c r="L434" s="28" t="str">
        <x:v>Not Started</x:v>
      </x:c>
      <x:c r="M434" s="43" t="n">
        <x:v>0</x:v>
      </x:c>
      <x:c r="N434" s="28" t="n">
        <x:v>1</x:v>
      </x:c>
      <x:c r="O434" s="28" t="str"/>
      <x:c r="P434" s="28" t="str"/>
      <x:c r="Q434" s="28" t="str"/>
      <x:c r="R434" s="28" t="str"/>
      <x:c r="S434" s="28" t="str">
        <x:v>High</x:v>
      </x:c>
      <x:c r="T434" s="28" t="str">
        <x:f>IF(L434="Done","Green",IF(L434="Blocked","Red",IF(TODAY()&gt;J434,"Red",IF(M434&gt;=0.6,"Yellow","Green"))))</x:f>
        <x:v>Green</x:v>
      </x:c>
      <x:c r="U434" s="28" t="str"/>
    </x:row>
    <x:row r="435">
      <x:c r="A435" s="28" t="str">
        <x:v>SV-11-0433</x:v>
      </x:c>
      <x:c r="B435" s="28" t="str">
        <x:v>Sprint 11</x:v>
      </x:c>
      <x:c r="C435" s="28" t="str">
        <x:v>Month 6</x:v>
      </x:c>
      <x:c r="D435" s="28" t="str">
        <x:v>Backend Engineer</x:v>
      </x:c>
      <x:c r="E435" s="28" t="str">
        <x:v>API</x:v>
      </x:c>
      <x:c r="F435" s="28" t="str">
        <x:v>API stabilization</x:v>
      </x:c>
      <x:c r="G435" s="28" t="str">
        <x:v>API release</x:v>
      </x:c>
      <x:c r="H435" s="28" t="str">
        <x:v>Critical</x:v>
      </x:c>
      <x:c r="I435" s="42" t="n">
        <x:f>INDEX('Sprint Plan'!$D$9:$D$20,MATCH(B435,'Sprint Plan'!$A$9:$A$20,0))</x:f>
        <x:v>46358</x:v>
      </x:c>
      <x:c r="J435" s="42" t="n">
        <x:f>INDEX('Sprint Plan'!$E$9:$E$20,MATCH(B435,'Sprint Plan'!$A$9:$A$20,0))</x:f>
        <x:v>46371</x:v>
      </x:c>
      <x:c r="K435" s="28" t="str">
        <x:v>TBD</x:v>
      </x:c>
      <x:c r="L435" s="28" t="str">
        <x:v>Not Started</x:v>
      </x:c>
      <x:c r="M435" s="43" t="n">
        <x:v>0</x:v>
      </x:c>
      <x:c r="N435" s="28" t="n">
        <x:v>1</x:v>
      </x:c>
      <x:c r="O435" s="28" t="str"/>
      <x:c r="P435" s="28" t="str"/>
      <x:c r="Q435" s="28" t="str"/>
      <x:c r="R435" s="28" t="str"/>
      <x:c r="S435" s="28" t="str">
        <x:v>High</x:v>
      </x:c>
      <x:c r="T435" s="28" t="str">
        <x:f>IF(L435="Done","Green",IF(L435="Blocked","Red",IF(TODAY()&gt;J435,"Red",IF(M435&gt;=0.6,"Yellow","Green"))))</x:f>
        <x:v>Green</x:v>
      </x:c>
      <x:c r="U435" s="28" t="str"/>
    </x:row>
    <x:row r="436">
      <x:c r="A436" s="28" t="str">
        <x:v>SV-11-0434</x:v>
      </x:c>
      <x:c r="B436" s="28" t="str">
        <x:v>Sprint 11</x:v>
      </x:c>
      <x:c r="C436" s="28" t="str">
        <x:v>Month 6</x:v>
      </x:c>
      <x:c r="D436" s="28" t="str">
        <x:v>Backend Engineer</x:v>
      </x:c>
      <x:c r="E436" s="28" t="str">
        <x:v>Logging</x:v>
      </x:c>
      <x:c r="F436" s="28" t="str">
        <x:v>Improve logging</x:v>
      </x:c>
      <x:c r="G436" s="28" t="str">
        <x:v>Logs</x:v>
      </x:c>
      <x:c r="H436" s="28" t="str">
        <x:v>Critical</x:v>
      </x:c>
      <x:c r="I436" s="42" t="n">
        <x:f>INDEX('Sprint Plan'!$D$9:$D$20,MATCH(B436,'Sprint Plan'!$A$9:$A$20,0))</x:f>
        <x:v>46358</x:v>
      </x:c>
      <x:c r="J436" s="42" t="n">
        <x:f>INDEX('Sprint Plan'!$E$9:$E$20,MATCH(B436,'Sprint Plan'!$A$9:$A$20,0))</x:f>
        <x:v>46371</x:v>
      </x:c>
      <x:c r="K436" s="28" t="str">
        <x:v>TBD</x:v>
      </x:c>
      <x:c r="L436" s="28" t="str">
        <x:v>Not Started</x:v>
      </x:c>
      <x:c r="M436" s="43" t="n">
        <x:v>0</x:v>
      </x:c>
      <x:c r="N436" s="28" t="n">
        <x:v>1</x:v>
      </x:c>
      <x:c r="O436" s="28" t="str"/>
      <x:c r="P436" s="28" t="str"/>
      <x:c r="Q436" s="28" t="str"/>
      <x:c r="R436" s="28" t="str"/>
      <x:c r="S436" s="28" t="str">
        <x:v>High</x:v>
      </x:c>
      <x:c r="T436" s="28" t="str">
        <x:f>IF(L436="Done","Green",IF(L436="Blocked","Red",IF(TODAY()&gt;J436,"Red",IF(M436&gt;=0.6,"Yellow","Green"))))</x:f>
        <x:v>Green</x:v>
      </x:c>
      <x:c r="U436" s="28" t="str"/>
    </x:row>
    <x:row r="437">
      <x:c r="A437" s="28" t="str">
        <x:v>SV-11-0435</x:v>
      </x:c>
      <x:c r="B437" s="28" t="str">
        <x:v>Sprint 11</x:v>
      </x:c>
      <x:c r="C437" s="28" t="str">
        <x:v>Month 6</x:v>
      </x:c>
      <x:c r="D437" s="28" t="str">
        <x:v>Backend Engineer</x:v>
      </x:c>
      <x:c r="E437" s="28" t="str">
        <x:v>Audit</x:v>
      </x:c>
      <x:c r="F437" s="28" t="str">
        <x:v>Finalize audit</x:v>
      </x:c>
      <x:c r="G437" s="28" t="str">
        <x:v>Audit release</x:v>
      </x:c>
      <x:c r="H437" s="28" t="str">
        <x:v>Critical</x:v>
      </x:c>
      <x:c r="I437" s="42" t="n">
        <x:f>INDEX('Sprint Plan'!$D$9:$D$20,MATCH(B437,'Sprint Plan'!$A$9:$A$20,0))</x:f>
        <x:v>46358</x:v>
      </x:c>
      <x:c r="J437" s="42" t="n">
        <x:f>INDEX('Sprint Plan'!$E$9:$E$20,MATCH(B437,'Sprint Plan'!$A$9:$A$20,0))</x:f>
        <x:v>46371</x:v>
      </x:c>
      <x:c r="K437" s="28" t="str">
        <x:v>TBD</x:v>
      </x:c>
      <x:c r="L437" s="28" t="str">
        <x:v>Not Started</x:v>
      </x:c>
      <x:c r="M437" s="43" t="n">
        <x:v>0</x:v>
      </x:c>
      <x:c r="N437" s="28" t="n">
        <x:v>1</x:v>
      </x:c>
      <x:c r="O437" s="28" t="str"/>
      <x:c r="P437" s="28" t="str"/>
      <x:c r="Q437" s="28" t="str"/>
      <x:c r="R437" s="28" t="str"/>
      <x:c r="S437" s="28" t="str">
        <x:v>High</x:v>
      </x:c>
      <x:c r="T437" s="28" t="str">
        <x:f>IF(L437="Done","Green",IF(L437="Blocked","Red",IF(TODAY()&gt;J437,"Red",IF(M437&gt;=0.6,"Yellow","Green"))))</x:f>
        <x:v>Green</x:v>
      </x:c>
      <x:c r="U437" s="28" t="str"/>
    </x:row>
    <x:row r="438">
      <x:c r="A438" s="28" t="str">
        <x:v>SV-11-0436</x:v>
      </x:c>
      <x:c r="B438" s="28" t="str">
        <x:v>Sprint 11</x:v>
      </x:c>
      <x:c r="C438" s="28" t="str">
        <x:v>Month 6</x:v>
      </x:c>
      <x:c r="D438" s="28" t="str">
        <x:v>Backend Engineer</x:v>
      </x:c>
      <x:c r="E438" s="28" t="str">
        <x:v>Release</x:v>
      </x:c>
      <x:c r="F438" s="28" t="str">
        <x:v>Tag release version</x:v>
      </x:c>
      <x:c r="G438" s="28" t="str">
        <x:v>Release tag</x:v>
      </x:c>
      <x:c r="H438" s="28" t="str">
        <x:v>Critical</x:v>
      </x:c>
      <x:c r="I438" s="42" t="n">
        <x:f>INDEX('Sprint Plan'!$D$9:$D$20,MATCH(B438,'Sprint Plan'!$A$9:$A$20,0))</x:f>
        <x:v>46358</x:v>
      </x:c>
      <x:c r="J438" s="42" t="n">
        <x:f>INDEX('Sprint Plan'!$E$9:$E$20,MATCH(B438,'Sprint Plan'!$A$9:$A$20,0))</x:f>
        <x:v>46371</x:v>
      </x:c>
      <x:c r="K438" s="28" t="str">
        <x:v>TBD</x:v>
      </x:c>
      <x:c r="L438" s="28" t="str">
        <x:v>Not Started</x:v>
      </x:c>
      <x:c r="M438" s="43" t="n">
        <x:v>0</x:v>
      </x:c>
      <x:c r="N438" s="28" t="n">
        <x:v>1</x:v>
      </x:c>
      <x:c r="O438" s="28" t="str"/>
      <x:c r="P438" s="28" t="str"/>
      <x:c r="Q438" s="28" t="str"/>
      <x:c r="R438" s="28" t="str"/>
      <x:c r="S438" s="28" t="str">
        <x:v>High</x:v>
      </x:c>
      <x:c r="T438" s="28" t="str">
        <x:f>IF(L438="Done","Green",IF(L438="Blocked","Red",IF(TODAY()&gt;J438,"Red",IF(M438&gt;=0.6,"Yellow","Green"))))</x:f>
        <x:v>Green</x:v>
      </x:c>
      <x:c r="U438" s="28" t="str"/>
    </x:row>
    <x:row r="439">
      <x:c r="A439" s="28" t="str">
        <x:v>SV-11-0437</x:v>
      </x:c>
      <x:c r="B439" s="28" t="str">
        <x:v>Sprint 11</x:v>
      </x:c>
      <x:c r="C439" s="28" t="str">
        <x:v>Month 6</x:v>
      </x:c>
      <x:c r="D439" s="28" t="str">
        <x:v>Frontend Engineer</x:v>
      </x:c>
      <x:c r="E439" s="28" t="str">
        <x:v>Bug</x:v>
      </x:c>
      <x:c r="F439" s="28" t="str">
        <x:v>UI bug fixing</x:v>
      </x:c>
      <x:c r="G439" s="28" t="str">
        <x:v>Fixed UI</x:v>
      </x:c>
      <x:c r="H439" s="28" t="str">
        <x:v>Critical</x:v>
      </x:c>
      <x:c r="I439" s="42" t="n">
        <x:f>INDEX('Sprint Plan'!$D$9:$D$20,MATCH(B439,'Sprint Plan'!$A$9:$A$20,0))</x:f>
        <x:v>46358</x:v>
      </x:c>
      <x:c r="J439" s="42" t="n">
        <x:f>INDEX('Sprint Plan'!$E$9:$E$20,MATCH(B439,'Sprint Plan'!$A$9:$A$20,0))</x:f>
        <x:v>46371</x:v>
      </x:c>
      <x:c r="K439" s="28" t="str">
        <x:v>TBD</x:v>
      </x:c>
      <x:c r="L439" s="28" t="str">
        <x:v>Not Started</x:v>
      </x:c>
      <x:c r="M439" s="43" t="n">
        <x:v>0</x:v>
      </x:c>
      <x:c r="N439" s="28" t="n">
        <x:v>1</x:v>
      </x:c>
      <x:c r="O439" s="28" t="str"/>
      <x:c r="P439" s="28" t="str"/>
      <x:c r="Q439" s="28" t="str"/>
      <x:c r="R439" s="28" t="str"/>
      <x:c r="S439" s="28" t="str">
        <x:v>High</x:v>
      </x:c>
      <x:c r="T439" s="28" t="str">
        <x:f>IF(L439="Done","Green",IF(L439="Blocked","Red",IF(TODAY()&gt;J439,"Red",IF(M439&gt;=0.6,"Yellow","Green"))))</x:f>
        <x:v>Green</x:v>
      </x:c>
      <x:c r="U439" s="28" t="str"/>
    </x:row>
    <x:row r="440">
      <x:c r="A440" s="28" t="str">
        <x:v>SV-11-0438</x:v>
      </x:c>
      <x:c r="B440" s="28" t="str">
        <x:v>Sprint 11</x:v>
      </x:c>
      <x:c r="C440" s="28" t="str">
        <x:v>Month 6</x:v>
      </x:c>
      <x:c r="D440" s="28" t="str">
        <x:v>Frontend Engineer</x:v>
      </x:c>
      <x:c r="E440" s="28" t="str">
        <x:v>Demo</x:v>
      </x:c>
      <x:c r="F440" s="28" t="str">
        <x:v>Demo polish</x:v>
      </x:c>
      <x:c r="G440" s="28" t="str">
        <x:v>Demo UI</x:v>
      </x:c>
      <x:c r="H440" s="28" t="str">
        <x:v>Critical</x:v>
      </x:c>
      <x:c r="I440" s="42" t="n">
        <x:f>INDEX('Sprint Plan'!$D$9:$D$20,MATCH(B440,'Sprint Plan'!$A$9:$A$20,0))</x:f>
        <x:v>46358</x:v>
      </x:c>
      <x:c r="J440" s="42" t="n">
        <x:f>INDEX('Sprint Plan'!$E$9:$E$20,MATCH(B440,'Sprint Plan'!$A$9:$A$20,0))</x:f>
        <x:v>46371</x:v>
      </x:c>
      <x:c r="K440" s="28" t="str">
        <x:v>TBD</x:v>
      </x:c>
      <x:c r="L440" s="28" t="str">
        <x:v>Not Started</x:v>
      </x:c>
      <x:c r="M440" s="43" t="n">
        <x:v>0</x:v>
      </x:c>
      <x:c r="N440" s="28" t="n">
        <x:v>1</x:v>
      </x:c>
      <x:c r="O440" s="28" t="str"/>
      <x:c r="P440" s="28" t="str"/>
      <x:c r="Q440" s="28" t="str"/>
      <x:c r="R440" s="28" t="str"/>
      <x:c r="S440" s="28" t="str">
        <x:v>High</x:v>
      </x:c>
      <x:c r="T440" s="28" t="str">
        <x:f>IF(L440="Done","Green",IF(L440="Blocked","Red",IF(TODAY()&gt;J440,"Red",IF(M440&gt;=0.6,"Yellow","Green"))))</x:f>
        <x:v>Green</x:v>
      </x:c>
      <x:c r="U440" s="28" t="str"/>
    </x:row>
    <x:row r="441">
      <x:c r="A441" s="28" t="str">
        <x:v>SV-11-0439</x:v>
      </x:c>
      <x:c r="B441" s="28" t="str">
        <x:v>Sprint 11</x:v>
      </x:c>
      <x:c r="C441" s="28" t="str">
        <x:v>Month 6</x:v>
      </x:c>
      <x:c r="D441" s="28" t="str">
        <x:v>Frontend Engineer</x:v>
      </x:c>
      <x:c r="E441" s="28" t="str">
        <x:v>Responsive</x:v>
      </x:c>
      <x:c r="F441" s="28" t="str">
        <x:v>Final responsiveness check</x:v>
      </x:c>
      <x:c r="G441" s="28" t="str">
        <x:v>UI QA</x:v>
      </x:c>
      <x:c r="H441" s="28" t="str">
        <x:v>Critical</x:v>
      </x:c>
      <x:c r="I441" s="42" t="n">
        <x:f>INDEX('Sprint Plan'!$D$9:$D$20,MATCH(B441,'Sprint Plan'!$A$9:$A$20,0))</x:f>
        <x:v>46358</x:v>
      </x:c>
      <x:c r="J441" s="42" t="n">
        <x:f>INDEX('Sprint Plan'!$E$9:$E$20,MATCH(B441,'Sprint Plan'!$A$9:$A$20,0))</x:f>
        <x:v>46371</x:v>
      </x:c>
      <x:c r="K441" s="28" t="str">
        <x:v>TBD</x:v>
      </x:c>
      <x:c r="L441" s="28" t="str">
        <x:v>Not Started</x:v>
      </x:c>
      <x:c r="M441" s="43" t="n">
        <x:v>0</x:v>
      </x:c>
      <x:c r="N441" s="28" t="n">
        <x:v>1</x:v>
      </x:c>
      <x:c r="O441" s="28" t="str"/>
      <x:c r="P441" s="28" t="str"/>
      <x:c r="Q441" s="28" t="str"/>
      <x:c r="R441" s="28" t="str"/>
      <x:c r="S441" s="28" t="str">
        <x:v>High</x:v>
      </x:c>
      <x:c r="T441" s="28" t="str">
        <x:f>IF(L441="Done","Green",IF(L441="Blocked","Red",IF(TODAY()&gt;J441,"Red",IF(M441&gt;=0.6,"Yellow","Green"))))</x:f>
        <x:v>Green</x:v>
      </x:c>
      <x:c r="U441" s="28" t="str"/>
    </x:row>
    <x:row r="442">
      <x:c r="A442" s="28" t="str">
        <x:v>SV-11-0440</x:v>
      </x:c>
      <x:c r="B442" s="28" t="str">
        <x:v>Sprint 11</x:v>
      </x:c>
      <x:c r="C442" s="28" t="str">
        <x:v>Month 6</x:v>
      </x:c>
      <x:c r="D442" s="28" t="str">
        <x:v>Frontend Engineer</x:v>
      </x:c>
      <x:c r="E442" s="28" t="str">
        <x:v>Brand</x:v>
      </x:c>
      <x:c r="F442" s="28" t="str">
        <x:v>Finalize assets/logo</x:v>
      </x:c>
      <x:c r="G442" s="28" t="str">
        <x:v>Brand assets</x:v>
      </x:c>
      <x:c r="H442" s="28" t="str">
        <x:v>Critical</x:v>
      </x:c>
      <x:c r="I442" s="42" t="n">
        <x:f>INDEX('Sprint Plan'!$D$9:$D$20,MATCH(B442,'Sprint Plan'!$A$9:$A$20,0))</x:f>
        <x:v>46358</x:v>
      </x:c>
      <x:c r="J442" s="42" t="n">
        <x:f>INDEX('Sprint Plan'!$E$9:$E$20,MATCH(B442,'Sprint Plan'!$A$9:$A$20,0))</x:f>
        <x:v>46371</x:v>
      </x:c>
      <x:c r="K442" s="28" t="str">
        <x:v>TBD</x:v>
      </x:c>
      <x:c r="L442" s="28" t="str">
        <x:v>Not Started</x:v>
      </x:c>
      <x:c r="M442" s="43" t="n">
        <x:v>0</x:v>
      </x:c>
      <x:c r="N442" s="28" t="n">
        <x:v>1</x:v>
      </x:c>
      <x:c r="O442" s="28" t="str"/>
      <x:c r="P442" s="28" t="str"/>
      <x:c r="Q442" s="28" t="str"/>
      <x:c r="R442" s="28" t="str"/>
      <x:c r="S442" s="28" t="str">
        <x:v>High</x:v>
      </x:c>
      <x:c r="T442" s="28" t="str">
        <x:f>IF(L442="Done","Green",IF(L442="Blocked","Red",IF(TODAY()&gt;J442,"Red",IF(M442&gt;=0.6,"Yellow","Green"))))</x:f>
        <x:v>Green</x:v>
      </x:c>
      <x:c r="U442" s="28" t="str"/>
    </x:row>
    <x:row r="443">
      <x:c r="A443" s="28" t="str">
        <x:v>SV-11-0441</x:v>
      </x:c>
      <x:c r="B443" s="28" t="str">
        <x:v>Sprint 11</x:v>
      </x:c>
      <x:c r="C443" s="28" t="str">
        <x:v>Month 6</x:v>
      </x:c>
      <x:c r="D443" s="28" t="str">
        <x:v>Frontend Engineer</x:v>
      </x:c>
      <x:c r="E443" s="28" t="str">
        <x:v>Release</x:v>
      </x:c>
      <x:c r="F443" s="28" t="str">
        <x:v>Tag frontend release</x:v>
      </x:c>
      <x:c r="G443" s="28" t="str">
        <x:v>Release tag</x:v>
      </x:c>
      <x:c r="H443" s="28" t="str">
        <x:v>Critical</x:v>
      </x:c>
      <x:c r="I443" s="42" t="n">
        <x:f>INDEX('Sprint Plan'!$D$9:$D$20,MATCH(B443,'Sprint Plan'!$A$9:$A$20,0))</x:f>
        <x:v>46358</x:v>
      </x:c>
      <x:c r="J443" s="42" t="n">
        <x:f>INDEX('Sprint Plan'!$E$9:$E$20,MATCH(B443,'Sprint Plan'!$A$9:$A$20,0))</x:f>
        <x:v>46371</x:v>
      </x:c>
      <x:c r="K443" s="28" t="str">
        <x:v>TBD</x:v>
      </x:c>
      <x:c r="L443" s="28" t="str">
        <x:v>Not Started</x:v>
      </x:c>
      <x:c r="M443" s="43" t="n">
        <x:v>0</x:v>
      </x:c>
      <x:c r="N443" s="28" t="n">
        <x:v>1</x:v>
      </x:c>
      <x:c r="O443" s="28" t="str"/>
      <x:c r="P443" s="28" t="str"/>
      <x:c r="Q443" s="28" t="str"/>
      <x:c r="R443" s="28" t="str"/>
      <x:c r="S443" s="28" t="str">
        <x:v>High</x:v>
      </x:c>
      <x:c r="T443" s="28" t="str">
        <x:f>IF(L443="Done","Green",IF(L443="Blocked","Red",IF(TODAY()&gt;J443,"Red",IF(M443&gt;=0.6,"Yellow","Green"))))</x:f>
        <x:v>Green</x:v>
      </x:c>
      <x:c r="U443" s="28" t="str"/>
    </x:row>
    <x:row r="444">
      <x:c r="A444" s="28" t="str">
        <x:v>SV-11-0442</x:v>
      </x:c>
      <x:c r="B444" s="28" t="str">
        <x:v>Sprint 11</x:v>
      </x:c>
      <x:c r="C444" s="28" t="str">
        <x:v>Month 6</x:v>
      </x:c>
      <x:c r="D444" s="28" t="str">
        <x:v>QA/Tester</x:v>
      </x:c>
      <x:c r="E444" s="28" t="str">
        <x:v>UAT</x:v>
      </x:c>
      <x:c r="F444" s="28" t="str">
        <x:v>Execute full UAT</x:v>
      </x:c>
      <x:c r="G444" s="28" t="str">
        <x:v>UAT result</x:v>
      </x:c>
      <x:c r="H444" s="28" t="str">
        <x:v>Critical</x:v>
      </x:c>
      <x:c r="I444" s="42" t="n">
        <x:f>INDEX('Sprint Plan'!$D$9:$D$20,MATCH(B444,'Sprint Plan'!$A$9:$A$20,0))</x:f>
        <x:v>46358</x:v>
      </x:c>
      <x:c r="J444" s="42" t="n">
        <x:f>INDEX('Sprint Plan'!$E$9:$E$20,MATCH(B444,'Sprint Plan'!$A$9:$A$20,0))</x:f>
        <x:v>46371</x:v>
      </x:c>
      <x:c r="K444" s="28" t="str">
        <x:v>TBD</x:v>
      </x:c>
      <x:c r="L444" s="28" t="str">
        <x:v>Not Started</x:v>
      </x:c>
      <x:c r="M444" s="43" t="n">
        <x:v>0</x:v>
      </x:c>
      <x:c r="N444" s="28" t="n">
        <x:v>1</x:v>
      </x:c>
      <x:c r="O444" s="28" t="str"/>
      <x:c r="P444" s="28" t="str"/>
      <x:c r="Q444" s="28" t="str"/>
      <x:c r="R444" s="28" t="str"/>
      <x:c r="S444" s="28" t="str">
        <x:v>High</x:v>
      </x:c>
      <x:c r="T444" s="28" t="str">
        <x:f>IF(L444="Done","Green",IF(L444="Blocked","Red",IF(TODAY()&gt;J444,"Red",IF(M444&gt;=0.6,"Yellow","Green"))))</x:f>
        <x:v>Green</x:v>
      </x:c>
      <x:c r="U444" s="28" t="str"/>
    </x:row>
    <x:row r="445">
      <x:c r="A445" s="28" t="str">
        <x:v>SV-11-0443</x:v>
      </x:c>
      <x:c r="B445" s="28" t="str">
        <x:v>Sprint 11</x:v>
      </x:c>
      <x:c r="C445" s="28" t="str">
        <x:v>Month 6</x:v>
      </x:c>
      <x:c r="D445" s="28" t="str">
        <x:v>QA/Tester</x:v>
      </x:c>
      <x:c r="E445" s="28" t="str">
        <x:v>Regression</x:v>
      </x:c>
      <x:c r="F445" s="28" t="str">
        <x:v>Execute regression test</x:v>
      </x:c>
      <x:c r="G445" s="28" t="str">
        <x:v>Regression result</x:v>
      </x:c>
      <x:c r="H445" s="28" t="str">
        <x:v>Critical</x:v>
      </x:c>
      <x:c r="I445" s="42" t="n">
        <x:f>INDEX('Sprint Plan'!$D$9:$D$20,MATCH(B445,'Sprint Plan'!$A$9:$A$20,0))</x:f>
        <x:v>46358</x:v>
      </x:c>
      <x:c r="J445" s="42" t="n">
        <x:f>INDEX('Sprint Plan'!$E$9:$E$20,MATCH(B445,'Sprint Plan'!$A$9:$A$20,0))</x:f>
        <x:v>46371</x:v>
      </x:c>
      <x:c r="K445" s="28" t="str">
        <x:v>TBD</x:v>
      </x:c>
      <x:c r="L445" s="28" t="str">
        <x:v>Not Started</x:v>
      </x:c>
      <x:c r="M445" s="43" t="n">
        <x:v>0</x:v>
      </x:c>
      <x:c r="N445" s="28" t="n">
        <x:v>1</x:v>
      </x:c>
      <x:c r="O445" s="28" t="str"/>
      <x:c r="P445" s="28" t="str"/>
      <x:c r="Q445" s="28" t="str"/>
      <x:c r="R445" s="28" t="str"/>
      <x:c r="S445" s="28" t="str">
        <x:v>High</x:v>
      </x:c>
      <x:c r="T445" s="28" t="str">
        <x:f>IF(L445="Done","Green",IF(L445="Blocked","Red",IF(TODAY()&gt;J445,"Red",IF(M445&gt;=0.6,"Yellow","Green"))))</x:f>
        <x:v>Green</x:v>
      </x:c>
      <x:c r="U445" s="28" t="str"/>
    </x:row>
    <x:row r="446">
      <x:c r="A446" s="28" t="str">
        <x:v>SV-11-0444</x:v>
      </x:c>
      <x:c r="B446" s="28" t="str">
        <x:v>Sprint 11</x:v>
      </x:c>
      <x:c r="C446" s="28" t="str">
        <x:v>Month 6</x:v>
      </x:c>
      <x:c r="D446" s="28" t="str">
        <x:v>QA/Tester</x:v>
      </x:c>
      <x:c r="E446" s="28" t="str">
        <x:v>Demo Test</x:v>
      </x:c>
      <x:c r="F446" s="28" t="str">
        <x:v>Execute demo flow test</x:v>
      </x:c>
      <x:c r="G446" s="28" t="str">
        <x:v>Demo test</x:v>
      </x:c>
      <x:c r="H446" s="28" t="str">
        <x:v>Critical</x:v>
      </x:c>
      <x:c r="I446" s="42" t="n">
        <x:f>INDEX('Sprint Plan'!$D$9:$D$20,MATCH(B446,'Sprint Plan'!$A$9:$A$20,0))</x:f>
        <x:v>46358</x:v>
      </x:c>
      <x:c r="J446" s="42" t="n">
        <x:f>INDEX('Sprint Plan'!$E$9:$E$20,MATCH(B446,'Sprint Plan'!$A$9:$A$20,0))</x:f>
        <x:v>46371</x:v>
      </x:c>
      <x:c r="K446" s="28" t="str">
        <x:v>TBD</x:v>
      </x:c>
      <x:c r="L446" s="28" t="str">
        <x:v>Not Started</x:v>
      </x:c>
      <x:c r="M446" s="43" t="n">
        <x:v>0</x:v>
      </x:c>
      <x:c r="N446" s="28" t="n">
        <x:v>1</x:v>
      </x:c>
      <x:c r="O446" s="28" t="str"/>
      <x:c r="P446" s="28" t="str"/>
      <x:c r="Q446" s="28" t="str"/>
      <x:c r="R446" s="28" t="str"/>
      <x:c r="S446" s="28" t="str">
        <x:v>High</x:v>
      </x:c>
      <x:c r="T446" s="28" t="str">
        <x:f>IF(L446="Done","Green",IF(L446="Blocked","Red",IF(TODAY()&gt;J446,"Red",IF(M446&gt;=0.6,"Yellow","Green"))))</x:f>
        <x:v>Green</x:v>
      </x:c>
      <x:c r="U446" s="28" t="str"/>
    </x:row>
    <x:row r="447">
      <x:c r="A447" s="28" t="str">
        <x:v>SV-11-0445</x:v>
      </x:c>
      <x:c r="B447" s="28" t="str">
        <x:v>Sprint 11</x:v>
      </x:c>
      <x:c r="C447" s="28" t="str">
        <x:v>Month 6</x:v>
      </x:c>
      <x:c r="D447" s="28" t="str">
        <x:v>QA/Tester</x:v>
      </x:c>
      <x:c r="E447" s="28" t="str">
        <x:v>Known Issues</x:v>
      </x:c>
      <x:c r="F447" s="28" t="str">
        <x:v>Validate known issues</x:v>
      </x:c>
      <x:c r="G447" s="28" t="str">
        <x:v>Known issue list</x:v>
      </x:c>
      <x:c r="H447" s="28" t="str">
        <x:v>Critical</x:v>
      </x:c>
      <x:c r="I447" s="42" t="n">
        <x:f>INDEX('Sprint Plan'!$D$9:$D$20,MATCH(B447,'Sprint Plan'!$A$9:$A$20,0))</x:f>
        <x:v>46358</x:v>
      </x:c>
      <x:c r="J447" s="42" t="n">
        <x:f>INDEX('Sprint Plan'!$E$9:$E$20,MATCH(B447,'Sprint Plan'!$A$9:$A$20,0))</x:f>
        <x:v>46371</x:v>
      </x:c>
      <x:c r="K447" s="28" t="str">
        <x:v>TBD</x:v>
      </x:c>
      <x:c r="L447" s="28" t="str">
        <x:v>Not Started</x:v>
      </x:c>
      <x:c r="M447" s="43" t="n">
        <x:v>0</x:v>
      </x:c>
      <x:c r="N447" s="28" t="n">
        <x:v>1</x:v>
      </x:c>
      <x:c r="O447" s="28" t="str"/>
      <x:c r="P447" s="28" t="str"/>
      <x:c r="Q447" s="28" t="str"/>
      <x:c r="R447" s="28" t="str"/>
      <x:c r="S447" s="28" t="str">
        <x:v>High</x:v>
      </x:c>
      <x:c r="T447" s="28" t="str">
        <x:f>IF(L447="Done","Green",IF(L447="Blocked","Red",IF(TODAY()&gt;J447,"Red",IF(M447&gt;=0.6,"Yellow","Green"))))</x:f>
        <x:v>Green</x:v>
      </x:c>
      <x:c r="U447" s="28" t="str"/>
    </x:row>
    <x:row r="448">
      <x:c r="A448" s="28" t="str">
        <x:v>SV-11-0446</x:v>
      </x:c>
      <x:c r="B448" s="28" t="str">
        <x:v>Sprint 11</x:v>
      </x:c>
      <x:c r="C448" s="28" t="str">
        <x:v>Month 6</x:v>
      </x:c>
      <x:c r="D448" s="28" t="str">
        <x:v>QA/Tester</x:v>
      </x:c>
      <x:c r="E448" s="28" t="str">
        <x:v>Acceptance</x:v>
      </x:c>
      <x:c r="F448" s="28" t="str">
        <x:v>Create acceptance report</x:v>
      </x:c>
      <x:c r="G448" s="28" t="str">
        <x:v>Acceptance report</x:v>
      </x:c>
      <x:c r="H448" s="28" t="str">
        <x:v>Critical</x:v>
      </x:c>
      <x:c r="I448" s="42" t="n">
        <x:f>INDEX('Sprint Plan'!$D$9:$D$20,MATCH(B448,'Sprint Plan'!$A$9:$A$20,0))</x:f>
        <x:v>46358</x:v>
      </x:c>
      <x:c r="J448" s="42" t="n">
        <x:f>INDEX('Sprint Plan'!$E$9:$E$20,MATCH(B448,'Sprint Plan'!$A$9:$A$20,0))</x:f>
        <x:v>46371</x:v>
      </x:c>
      <x:c r="K448" s="28" t="str">
        <x:v>TBD</x:v>
      </x:c>
      <x:c r="L448" s="28" t="str">
        <x:v>Not Started</x:v>
      </x:c>
      <x:c r="M448" s="43" t="n">
        <x:v>0</x:v>
      </x:c>
      <x:c r="N448" s="28" t="n">
        <x:v>1</x:v>
      </x:c>
      <x:c r="O448" s="28" t="str"/>
      <x:c r="P448" s="28" t="str"/>
      <x:c r="Q448" s="28" t="str"/>
      <x:c r="R448" s="28" t="str"/>
      <x:c r="S448" s="28" t="str">
        <x:v>High</x:v>
      </x:c>
      <x:c r="T448" s="28" t="str">
        <x:f>IF(L448="Done","Green",IF(L448="Blocked","Red",IF(TODAY()&gt;J448,"Red",IF(M448&gt;=0.6,"Yellow","Green"))))</x:f>
        <x:v>Green</x:v>
      </x:c>
      <x:c r="U448" s="28" t="str"/>
    </x:row>
    <x:row r="449">
      <x:c r="A449" s="28" t="str">
        <x:v>SV-11-0447</x:v>
      </x:c>
      <x:c r="B449" s="28" t="str">
        <x:v>Sprint 11</x:v>
      </x:c>
      <x:c r="C449" s="28" t="str">
        <x:v>Month 6</x:v>
      </x:c>
      <x:c r="D449" s="28" t="str">
        <x:v>Technical Writer</x:v>
      </x:c>
      <x:c r="E449" s="28" t="str">
        <x:v>Admin</x:v>
      </x:c>
      <x:c r="F449" s="28" t="str">
        <x:v>Final admin guide</x:v>
      </x:c>
      <x:c r="G449" s="28" t="str">
        <x:v>Admin guide</x:v>
      </x:c>
      <x:c r="H449" s="28" t="str">
        <x:v>Critical</x:v>
      </x:c>
      <x:c r="I449" s="42" t="n">
        <x:f>INDEX('Sprint Plan'!$D$9:$D$20,MATCH(B449,'Sprint Plan'!$A$9:$A$20,0))</x:f>
        <x:v>46358</x:v>
      </x:c>
      <x:c r="J449" s="42" t="n">
        <x:f>INDEX('Sprint Plan'!$E$9:$E$20,MATCH(B449,'Sprint Plan'!$A$9:$A$20,0))</x:f>
        <x:v>46371</x:v>
      </x:c>
      <x:c r="K449" s="28" t="str">
        <x:v>TBD</x:v>
      </x:c>
      <x:c r="L449" s="28" t="str">
        <x:v>Not Started</x:v>
      </x:c>
      <x:c r="M449" s="43" t="n">
        <x:v>0</x:v>
      </x:c>
      <x:c r="N449" s="28" t="n">
        <x:v>1</x:v>
      </x:c>
      <x:c r="O449" s="28" t="str"/>
      <x:c r="P449" s="28" t="str"/>
      <x:c r="Q449" s="28" t="str"/>
      <x:c r="R449" s="28" t="str"/>
      <x:c r="S449" s="28" t="str">
        <x:v>High</x:v>
      </x:c>
      <x:c r="T449" s="28" t="str">
        <x:f>IF(L449="Done","Green",IF(L449="Blocked","Red",IF(TODAY()&gt;J449,"Red",IF(M449&gt;=0.6,"Yellow","Green"))))</x:f>
        <x:v>Green</x:v>
      </x:c>
      <x:c r="U449" s="28" t="str"/>
    </x:row>
    <x:row r="450">
      <x:c r="A450" s="28" t="str">
        <x:v>SV-11-0448</x:v>
      </x:c>
      <x:c r="B450" s="28" t="str">
        <x:v>Sprint 11</x:v>
      </x:c>
      <x:c r="C450" s="28" t="str">
        <x:v>Month 6</x:v>
      </x:c>
      <x:c r="D450" s="28" t="str">
        <x:v>Technical Writer</x:v>
      </x:c>
      <x:c r="E450" s="28" t="str">
        <x:v>SOP</x:v>
      </x:c>
      <x:c r="F450" s="28" t="str">
        <x:v>Final SOP package</x:v>
      </x:c>
      <x:c r="G450" s="28" t="str">
        <x:v>SOP package</x:v>
      </x:c>
      <x:c r="H450" s="28" t="str">
        <x:v>Critical</x:v>
      </x:c>
      <x:c r="I450" s="42" t="n">
        <x:f>INDEX('Sprint Plan'!$D$9:$D$20,MATCH(B450,'Sprint Plan'!$A$9:$A$20,0))</x:f>
        <x:v>46358</x:v>
      </x:c>
      <x:c r="J450" s="42" t="n">
        <x:f>INDEX('Sprint Plan'!$E$9:$E$20,MATCH(B450,'Sprint Plan'!$A$9:$A$20,0))</x:f>
        <x:v>46371</x:v>
      </x:c>
      <x:c r="K450" s="28" t="str">
        <x:v>TBD</x:v>
      </x:c>
      <x:c r="L450" s="28" t="str">
        <x:v>Not Started</x:v>
      </x:c>
      <x:c r="M450" s="43" t="n">
        <x:v>0</x:v>
      </x:c>
      <x:c r="N450" s="28" t="n">
        <x:v>1</x:v>
      </x:c>
      <x:c r="O450" s="28" t="str"/>
      <x:c r="P450" s="28" t="str"/>
      <x:c r="Q450" s="28" t="str"/>
      <x:c r="R450" s="28" t="str"/>
      <x:c r="S450" s="28" t="str">
        <x:v>High</x:v>
      </x:c>
      <x:c r="T450" s="28" t="str">
        <x:f>IF(L450="Done","Green",IF(L450="Blocked","Red",IF(TODAY()&gt;J450,"Red",IF(M450&gt;=0.6,"Yellow","Green"))))</x:f>
        <x:v>Green</x:v>
      </x:c>
      <x:c r="U450" s="28" t="str"/>
    </x:row>
    <x:row r="451">
      <x:c r="A451" s="28" t="str">
        <x:v>SV-11-0449</x:v>
      </x:c>
      <x:c r="B451" s="28" t="str">
        <x:v>Sprint 11</x:v>
      </x:c>
      <x:c r="C451" s="28" t="str">
        <x:v>Month 6</x:v>
      </x:c>
      <x:c r="D451" s="28" t="str">
        <x:v>Technical Writer</x:v>
      </x:c>
      <x:c r="E451" s="28" t="str">
        <x:v>UAT</x:v>
      </x:c>
      <x:c r="F451" s="28" t="str">
        <x:v>Final UAT document</x:v>
      </x:c>
      <x:c r="G451" s="28" t="str">
        <x:v>UAT doc</x:v>
      </x:c>
      <x:c r="H451" s="28" t="str">
        <x:v>Critical</x:v>
      </x:c>
      <x:c r="I451" s="42" t="n">
        <x:f>INDEX('Sprint Plan'!$D$9:$D$20,MATCH(B451,'Sprint Plan'!$A$9:$A$20,0))</x:f>
        <x:v>46358</x:v>
      </x:c>
      <x:c r="J451" s="42" t="n">
        <x:f>INDEX('Sprint Plan'!$E$9:$E$20,MATCH(B451,'Sprint Plan'!$A$9:$A$20,0))</x:f>
        <x:v>46371</x:v>
      </x:c>
      <x:c r="K451" s="28" t="str">
        <x:v>TBD</x:v>
      </x:c>
      <x:c r="L451" s="28" t="str">
        <x:v>Not Started</x:v>
      </x:c>
      <x:c r="M451" s="43" t="n">
        <x:v>0</x:v>
      </x:c>
      <x:c r="N451" s="28" t="n">
        <x:v>1</x:v>
      </x:c>
      <x:c r="O451" s="28" t="str"/>
      <x:c r="P451" s="28" t="str"/>
      <x:c r="Q451" s="28" t="str"/>
      <x:c r="R451" s="28" t="str"/>
      <x:c r="S451" s="28" t="str">
        <x:v>High</x:v>
      </x:c>
      <x:c r="T451" s="28" t="str">
        <x:f>IF(L451="Done","Green",IF(L451="Blocked","Red",IF(TODAY()&gt;J451,"Red",IF(M451&gt;=0.6,"Yellow","Green"))))</x:f>
        <x:v>Green</x:v>
      </x:c>
      <x:c r="U451" s="28" t="str"/>
    </x:row>
    <x:row r="452">
      <x:c r="A452" s="28" t="str">
        <x:v>SV-11-0450</x:v>
      </x:c>
      <x:c r="B452" s="28" t="str">
        <x:v>Sprint 11</x:v>
      </x:c>
      <x:c r="C452" s="28" t="str">
        <x:v>Month 6</x:v>
      </x:c>
      <x:c r="D452" s="28" t="str">
        <x:v>Technical Writer</x:v>
      </x:c>
      <x:c r="E452" s="28" t="str">
        <x:v>BAST</x:v>
      </x:c>
      <x:c r="F452" s="28" t="str">
        <x:v>Final BAST template</x:v>
      </x:c>
      <x:c r="G452" s="28" t="str">
        <x:v>BAST</x:v>
      </x:c>
      <x:c r="H452" s="28" t="str">
        <x:v>Critical</x:v>
      </x:c>
      <x:c r="I452" s="42" t="n">
        <x:f>INDEX('Sprint Plan'!$D$9:$D$20,MATCH(B452,'Sprint Plan'!$A$9:$A$20,0))</x:f>
        <x:v>46358</x:v>
      </x:c>
      <x:c r="J452" s="42" t="n">
        <x:f>INDEX('Sprint Plan'!$E$9:$E$20,MATCH(B452,'Sprint Plan'!$A$9:$A$20,0))</x:f>
        <x:v>46371</x:v>
      </x:c>
      <x:c r="K452" s="28" t="str">
        <x:v>TBD</x:v>
      </x:c>
      <x:c r="L452" s="28" t="str">
        <x:v>Not Started</x:v>
      </x:c>
      <x:c r="M452" s="43" t="n">
        <x:v>0</x:v>
      </x:c>
      <x:c r="N452" s="28" t="n">
        <x:v>1</x:v>
      </x:c>
      <x:c r="O452" s="28" t="str"/>
      <x:c r="P452" s="28" t="str"/>
      <x:c r="Q452" s="28" t="str"/>
      <x:c r="R452" s="28" t="str"/>
      <x:c r="S452" s="28" t="str">
        <x:v>High</x:v>
      </x:c>
      <x:c r="T452" s="28" t="str">
        <x:f>IF(L452="Done","Green",IF(L452="Blocked","Red",IF(TODAY()&gt;J452,"Red",IF(M452&gt;=0.6,"Yellow","Green"))))</x:f>
        <x:v>Green</x:v>
      </x:c>
      <x:c r="U452" s="28" t="str"/>
    </x:row>
    <x:row r="453">
      <x:c r="A453" s="28" t="str">
        <x:v>SV-11-0451</x:v>
      </x:c>
      <x:c r="B453" s="28" t="str">
        <x:v>Sprint 11</x:v>
      </x:c>
      <x:c r="C453" s="28" t="str">
        <x:v>Month 6</x:v>
      </x:c>
      <x:c r="D453" s="28" t="str">
        <x:v>Technical Writer</x:v>
      </x:c>
      <x:c r="E453" s="28" t="str">
        <x:v>Release Note</x:v>
      </x:c>
      <x:c r="F453" s="28" t="str">
        <x:v>Final release note</x:v>
      </x:c>
      <x:c r="G453" s="28" t="str">
        <x:v>Release note</x:v>
      </x:c>
      <x:c r="H453" s="28" t="str">
        <x:v>Critical</x:v>
      </x:c>
      <x:c r="I453" s="42" t="n">
        <x:f>INDEX('Sprint Plan'!$D$9:$D$20,MATCH(B453,'Sprint Plan'!$A$9:$A$20,0))</x:f>
        <x:v>46358</x:v>
      </x:c>
      <x:c r="J453" s="42" t="n">
        <x:f>INDEX('Sprint Plan'!$E$9:$E$20,MATCH(B453,'Sprint Plan'!$A$9:$A$20,0))</x:f>
        <x:v>46371</x:v>
      </x:c>
      <x:c r="K453" s="28" t="str">
        <x:v>TBD</x:v>
      </x:c>
      <x:c r="L453" s="28" t="str">
        <x:v>Not Started</x:v>
      </x:c>
      <x:c r="M453" s="43" t="n">
        <x:v>0</x:v>
      </x:c>
      <x:c r="N453" s="28" t="n">
        <x:v>1</x:v>
      </x:c>
      <x:c r="O453" s="28" t="str"/>
      <x:c r="P453" s="28" t="str"/>
      <x:c r="Q453" s="28" t="str"/>
      <x:c r="R453" s="28" t="str"/>
      <x:c r="S453" s="28" t="str">
        <x:v>High</x:v>
      </x:c>
      <x:c r="T453" s="28" t="str">
        <x:f>IF(L453="Done","Green",IF(L453="Blocked","Red",IF(TODAY()&gt;J453,"Red",IF(M453&gt;=0.6,"Yellow","Green"))))</x:f>
        <x:v>Green</x:v>
      </x:c>
      <x:c r="U453" s="28" t="str"/>
    </x:row>
    <x:row r="454">
      <x:c r="A454" s="28" t="str">
        <x:v>SV-11-0452</x:v>
      </x:c>
      <x:c r="B454" s="28" t="str">
        <x:v>Sprint 11</x:v>
      </x:c>
      <x:c r="C454" s="28" t="str">
        <x:v>Month 6</x:v>
      </x:c>
      <x:c r="D454" s="28" t="str">
        <x:v>Sales/Marketing/Presales</x:v>
      </x:c>
      <x:c r="E454" s="28" t="str">
        <x:v>Pitch</x:v>
      </x:c>
      <x:c r="F454" s="28" t="str">
        <x:v>Final pitch deck</x:v>
      </x:c>
      <x:c r="G454" s="28" t="str">
        <x:v>Pitch deck</x:v>
      </x:c>
      <x:c r="H454" s="28" t="str">
        <x:v>Critical</x:v>
      </x:c>
      <x:c r="I454" s="42" t="n">
        <x:f>INDEX('Sprint Plan'!$D$9:$D$20,MATCH(B454,'Sprint Plan'!$A$9:$A$20,0))</x:f>
        <x:v>46358</x:v>
      </x:c>
      <x:c r="J454" s="42" t="n">
        <x:f>INDEX('Sprint Plan'!$E$9:$E$20,MATCH(B454,'Sprint Plan'!$A$9:$A$20,0))</x:f>
        <x:v>46371</x:v>
      </x:c>
      <x:c r="K454" s="28" t="str">
        <x:v>TBD</x:v>
      </x:c>
      <x:c r="L454" s="28" t="str">
        <x:v>Not Started</x:v>
      </x:c>
      <x:c r="M454" s="43" t="n">
        <x:v>0</x:v>
      </x:c>
      <x:c r="N454" s="28" t="n">
        <x:v>1</x:v>
      </x:c>
      <x:c r="O454" s="28" t="str"/>
      <x:c r="P454" s="28" t="str"/>
      <x:c r="Q454" s="28" t="str"/>
      <x:c r="R454" s="28" t="str"/>
      <x:c r="S454" s="28" t="str">
        <x:v>High</x:v>
      </x:c>
      <x:c r="T454" s="28" t="str">
        <x:f>IF(L454="Done","Green",IF(L454="Blocked","Red",IF(TODAY()&gt;J454,"Red",IF(M454&gt;=0.6,"Yellow","Green"))))</x:f>
        <x:v>Green</x:v>
      </x:c>
      <x:c r="U454" s="28" t="str"/>
    </x:row>
    <x:row r="455">
      <x:c r="A455" s="28" t="str">
        <x:v>SV-11-0453</x:v>
      </x:c>
      <x:c r="B455" s="28" t="str">
        <x:v>Sprint 11</x:v>
      </x:c>
      <x:c r="C455" s="28" t="str">
        <x:v>Month 6</x:v>
      </x:c>
      <x:c r="D455" s="28" t="str">
        <x:v>Sales/Marketing/Presales</x:v>
      </x:c>
      <x:c r="E455" s="28" t="str">
        <x:v>Brochure</x:v>
      </x:c>
      <x:c r="F455" s="28" t="str">
        <x:v>Final product brochure</x:v>
      </x:c>
      <x:c r="G455" s="28" t="str">
        <x:v>Brochure</x:v>
      </x:c>
      <x:c r="H455" s="28" t="str">
        <x:v>Critical</x:v>
      </x:c>
      <x:c r="I455" s="42" t="n">
        <x:f>INDEX('Sprint Plan'!$D$9:$D$20,MATCH(B455,'Sprint Plan'!$A$9:$A$20,0))</x:f>
        <x:v>46358</x:v>
      </x:c>
      <x:c r="J455" s="42" t="n">
        <x:f>INDEX('Sprint Plan'!$E$9:$E$20,MATCH(B455,'Sprint Plan'!$A$9:$A$20,0))</x:f>
        <x:v>46371</x:v>
      </x:c>
      <x:c r="K455" s="28" t="str">
        <x:v>TBD</x:v>
      </x:c>
      <x:c r="L455" s="28" t="str">
        <x:v>Not Started</x:v>
      </x:c>
      <x:c r="M455" s="43" t="n">
        <x:v>0</x:v>
      </x:c>
      <x:c r="N455" s="28" t="n">
        <x:v>1</x:v>
      </x:c>
      <x:c r="O455" s="28" t="str"/>
      <x:c r="P455" s="28" t="str"/>
      <x:c r="Q455" s="28" t="str"/>
      <x:c r="R455" s="28" t="str"/>
      <x:c r="S455" s="28" t="str">
        <x:v>High</x:v>
      </x:c>
      <x:c r="T455" s="28" t="str">
        <x:f>IF(L455="Done","Green",IF(L455="Blocked","Red",IF(TODAY()&gt;J455,"Red",IF(M455&gt;=0.6,"Yellow","Green"))))</x:f>
        <x:v>Green</x:v>
      </x:c>
      <x:c r="U455" s="28" t="str"/>
    </x:row>
    <x:row r="456">
      <x:c r="A456" s="28" t="str">
        <x:v>SV-11-0454</x:v>
      </x:c>
      <x:c r="B456" s="28" t="str">
        <x:v>Sprint 11</x:v>
      </x:c>
      <x:c r="C456" s="28" t="str">
        <x:v>Month 6</x:v>
      </x:c>
      <x:c r="D456" s="28" t="str">
        <x:v>Sales/Marketing/Presales</x:v>
      </x:c>
      <x:c r="E456" s="28" t="str">
        <x:v>Battle Card</x:v>
      </x:c>
      <x:c r="F456" s="28" t="str">
        <x:v>Final battle card</x:v>
      </x:c>
      <x:c r="G456" s="28" t="str">
        <x:v>Battle card</x:v>
      </x:c>
      <x:c r="H456" s="28" t="str">
        <x:v>Critical</x:v>
      </x:c>
      <x:c r="I456" s="42" t="n">
        <x:f>INDEX('Sprint Plan'!$D$9:$D$20,MATCH(B456,'Sprint Plan'!$A$9:$A$20,0))</x:f>
        <x:v>46358</x:v>
      </x:c>
      <x:c r="J456" s="42" t="n">
        <x:f>INDEX('Sprint Plan'!$E$9:$E$20,MATCH(B456,'Sprint Plan'!$A$9:$A$20,0))</x:f>
        <x:v>46371</x:v>
      </x:c>
      <x:c r="K456" s="28" t="str">
        <x:v>TBD</x:v>
      </x:c>
      <x:c r="L456" s="28" t="str">
        <x:v>Not Started</x:v>
      </x:c>
      <x:c r="M456" s="43" t="n">
        <x:v>0</x:v>
      </x:c>
      <x:c r="N456" s="28" t="n">
        <x:v>1</x:v>
      </x:c>
      <x:c r="O456" s="28" t="str"/>
      <x:c r="P456" s="28" t="str"/>
      <x:c r="Q456" s="28" t="str"/>
      <x:c r="R456" s="28" t="str"/>
      <x:c r="S456" s="28" t="str">
        <x:v>High</x:v>
      </x:c>
      <x:c r="T456" s="28" t="str">
        <x:f>IF(L456="Done","Green",IF(L456="Blocked","Red",IF(TODAY()&gt;J456,"Red",IF(M456&gt;=0.6,"Yellow","Green"))))</x:f>
        <x:v>Green</x:v>
      </x:c>
      <x:c r="U456" s="28" t="str"/>
    </x:row>
    <x:row r="457">
      <x:c r="A457" s="28" t="str">
        <x:v>SV-11-0455</x:v>
      </x:c>
      <x:c r="B457" s="28" t="str">
        <x:v>Sprint 11</x:v>
      </x:c>
      <x:c r="C457" s="28" t="str">
        <x:v>Month 6</x:v>
      </x:c>
      <x:c r="D457" s="28" t="str">
        <x:v>Sales/Marketing/Presales</x:v>
      </x:c>
      <x:c r="E457" s="28" t="str">
        <x:v>Product Sheet</x:v>
      </x:c>
      <x:c r="F457" s="28" t="str">
        <x:v>Final one-page product sheet</x:v>
      </x:c>
      <x:c r="G457" s="28" t="str">
        <x:v>Product sheet</x:v>
      </x:c>
      <x:c r="H457" s="28" t="str">
        <x:v>Critical</x:v>
      </x:c>
      <x:c r="I457" s="42" t="n">
        <x:f>INDEX('Sprint Plan'!$D$9:$D$20,MATCH(B457,'Sprint Plan'!$A$9:$A$20,0))</x:f>
        <x:v>46358</x:v>
      </x:c>
      <x:c r="J457" s="42" t="n">
        <x:f>INDEX('Sprint Plan'!$E$9:$E$20,MATCH(B457,'Sprint Plan'!$A$9:$A$20,0))</x:f>
        <x:v>46371</x:v>
      </x:c>
      <x:c r="K457" s="28" t="str">
        <x:v>TBD</x:v>
      </x:c>
      <x:c r="L457" s="28" t="str">
        <x:v>Not Started</x:v>
      </x:c>
      <x:c r="M457" s="43" t="n">
        <x:v>0</x:v>
      </x:c>
      <x:c r="N457" s="28" t="n">
        <x:v>1</x:v>
      </x:c>
      <x:c r="O457" s="28" t="str"/>
      <x:c r="P457" s="28" t="str"/>
      <x:c r="Q457" s="28" t="str"/>
      <x:c r="R457" s="28" t="str"/>
      <x:c r="S457" s="28" t="str">
        <x:v>High</x:v>
      </x:c>
      <x:c r="T457" s="28" t="str">
        <x:f>IF(L457="Done","Green",IF(L457="Blocked","Red",IF(TODAY()&gt;J457,"Red",IF(M457&gt;=0.6,"Yellow","Green"))))</x:f>
        <x:v>Green</x:v>
      </x:c>
      <x:c r="U457" s="28" t="str"/>
    </x:row>
    <x:row r="458">
      <x:c r="A458" s="28" t="str">
        <x:v>SV-11-0456</x:v>
      </x:c>
      <x:c r="B458" s="28" t="str">
        <x:v>Sprint 11</x:v>
      </x:c>
      <x:c r="C458" s="28" t="str">
        <x:v>Month 6</x:v>
      </x:c>
      <x:c r="D458" s="28" t="str">
        <x:v>Sales/Marketing/Presales</x:v>
      </x:c>
      <x:c r="E458" s="28" t="str">
        <x:v>Go-to-market</x:v>
      </x:c>
      <x:c r="F458" s="28" t="str">
        <x:v>Final demo script, pricing, outreach, pilot proposal, target account list, meeting plan</x:v>
      </x:c>
      <x:c r="G458" s="28" t="str">
        <x:v>GTM package</x:v>
      </x:c>
      <x:c r="H458" s="28" t="str">
        <x:v>Critical</x:v>
      </x:c>
      <x:c r="I458" s="42" t="n">
        <x:f>INDEX('Sprint Plan'!$D$9:$D$20,MATCH(B458,'Sprint Plan'!$A$9:$A$20,0))</x:f>
        <x:v>46358</x:v>
      </x:c>
      <x:c r="J458" s="42" t="n">
        <x:f>INDEX('Sprint Plan'!$E$9:$E$20,MATCH(B458,'Sprint Plan'!$A$9:$A$20,0))</x:f>
        <x:v>46371</x:v>
      </x:c>
      <x:c r="K458" s="28" t="str">
        <x:v>TBD</x:v>
      </x:c>
      <x:c r="L458" s="28" t="str">
        <x:v>Not Started</x:v>
      </x:c>
      <x:c r="M458" s="43" t="n">
        <x:v>0</x:v>
      </x:c>
      <x:c r="N458" s="28" t="n">
        <x:v>1</x:v>
      </x:c>
      <x:c r="O458" s="28" t="str"/>
      <x:c r="P458" s="28" t="str"/>
      <x:c r="Q458" s="28" t="str"/>
      <x:c r="R458" s="28" t="str"/>
      <x:c r="S458" s="28" t="str">
        <x:v>High</x:v>
      </x:c>
      <x:c r="T458" s="28" t="str">
        <x:f>IF(L458="Done","Green",IF(L458="Blocked","Red",IF(TODAY()&gt;J458,"Red",IF(M458&gt;=0.6,"Yellow","Green"))))</x:f>
        <x:v>Green</x:v>
      </x:c>
      <x:c r="U458" s="28" t="str"/>
    </x:row>
  </x:sheetData>
  <x:mergeCells>
    <x:mergeCell ref="A1:U1"/>
  </x:mergeCells>
  <x:conditionalFormatting sqref="T3:T458">
    <x:cfRule type="expression" dxfId="0" priority="1">
      <x:formula>T3="Green"</x:formula>
    </x:cfRule>
    <x:cfRule type="expression" dxfId="1" priority="2">
      <x:formula>T3="Yellow"</x:formula>
    </x:cfRule>
    <x:cfRule type="expression" dxfId="2" priority="3">
      <x:formula>T3="Red"</x:formula>
    </x:cfRule>
    <x:cfRule type="expression" dxfId="3" priority="4">
      <x:formula>T3="Black"</x:formula>
    </x:cfRule>
  </x:conditionalFormatting>
  <x:dataValidations count="6">
    <x:dataValidation type="list" sqref="B3:B458">
      <x:formula1>'Sprint Plan'!$A$9:$A$20</x:formula1>
    </x:dataValidation>
    <x:dataValidation type="list" sqref="D3:D458">
      <x:formula1>Lookups!$D$2:$D$9</x:formula1>
    </x:dataValidation>
    <x:dataValidation type="list" sqref="H3:H458">
      <x:formula1>Lookups!$B$2:$B$5</x:formula1>
    </x:dataValidation>
    <x:dataValidation type="list" sqref="L3:L458">
      <x:formula1>Lookups!$A$2:$A$7</x:formula1>
    </x:dataValidation>
    <x:dataValidation type="list" sqref="S3:S458">
      <x:formula1>Lookups!$E$2:$E$5</x:formula1>
    </x:dataValidation>
    <x:dataValidation type="list" sqref="T3:T458">
      <x:formula1>Lookups!$C$2:$C$5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14b9e2e71a46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52" hidden="0" customWidth="1"/>
    <x:col min="4" max="4" width="10" hidden="0" customWidth="1"/>
    <x:col min="5" max="5" width="58" hidden="0" customWidth="1"/>
    <x:col min="6" max="6" width="18" hidden="0" customWidth="1"/>
    <x:col min="7" max="7" width="12" hidden="0" customWidth="1"/>
    <x:col min="8" max="8" width="18" hidden="0" customWidth="1"/>
    <x:col min="9" max="9" width="12" hidden="0" customWidth="1"/>
    <x:col min="10" max="10" width="14" hidden="0" customWidth="1"/>
    <x:col min="11" max="11" width="10" hidden="0" customWidth="1"/>
    <x:col min="12" max="12" width="30" hidden="0" customWidth="1"/>
  </x:cols>
  <x:sheetData>
    <x:row r="1" ht="28" customHeight="1">
      <x:c r="A1" s="15" t="str">
        <x:v>Saft VE Program &amp; Role OKR</x:v>
      </x:c>
    </x:row>
    <x:row r="2" ht="28" customHeight="1">
      <x:c r="A2" s="6" t="str">
        <x:v>Owner/Role</x:v>
      </x:c>
      <x:c r="B2" s="6" t="str">
        <x:v>Objective ID</x:v>
      </x:c>
      <x:c r="C2" s="6" t="str">
        <x:v>Objective</x:v>
      </x:c>
      <x:c r="D2" s="6" t="str">
        <x:v>KR ID</x:v>
      </x:c>
      <x:c r="E2" s="6" t="str">
        <x:v>Key Result</x:v>
      </x:c>
      <x:c r="F2" s="6" t="str">
        <x:v>Target</x:v>
      </x:c>
      <x:c r="G2" s="6" t="str">
        <x:v>Due Sprint</x:v>
      </x:c>
      <x:c r="H2" s="6" t="str">
        <x:v>Actual</x:v>
      </x:c>
      <x:c r="I2" s="6" t="str">
        <x:v>Confidence</x:v>
      </x:c>
      <x:c r="J2" s="6" t="str">
        <x:v>Status</x:v>
      </x:c>
      <x:c r="K2" s="6" t="str">
        <x:v>RAG</x:v>
      </x:c>
      <x:c r="L2" s="6" t="str">
        <x:v>Notes</x:v>
      </x:c>
    </x:row>
    <x:row r="3">
      <x:c r="A3" s="28" t="str">
        <x:v>Program</x:v>
      </x:c>
      <x:c r="B3" s="28" t="str">
        <x:v>O1</x:v>
      </x:c>
      <x:c r="C3" s="28" t="str">
        <x:v>Membangun Saft VE POC yang siap didemokan dalam 6 bulan</x:v>
      </x:c>
      <x:c r="D3" s="28" t="str">
        <x:v>KR1</x:v>
      </x:c>
      <x:c r="E3" s="28" t="str">
        <x:v>OpenNebula CE berjalan dengan minimal 2 KVM host</x:v>
      </x:c>
      <x:c r="F3" s="28" t="str">
        <x:v>Sprint 1</x:v>
      </x:c>
      <x:c r="G3" s="28" t="str">
        <x:v>Sprint 1</x:v>
      </x:c>
      <x:c r="H3" s="28" t="str"/>
      <x:c r="I3" s="43" t="n">
        <x:v>0.7</x:v>
      </x:c>
      <x:c r="J3" s="28" t="str">
        <x:v>Not Started</x:v>
      </x:c>
      <x:c r="K3" s="28" t="str">
        <x:f>IF(J3="Done","Green",IF(J3="Blocked","Red",IF(I3&gt;=0.7,"Yellow","Red")))</x:f>
        <x:v>Yellow</x:v>
      </x:c>
      <x:c r="L3" s="28" t="str"/>
    </x:row>
    <x:row r="4">
      <x:c r="A4" s="28" t="str">
        <x:v>Program</x:v>
      </x:c>
      <x:c r="B4" s="28" t="str">
        <x:v>O1</x:v>
      </x:c>
      <x:c r="C4" s="28" t="str">
        <x:v>Membangun Saft VE POC yang siap didemokan dalam 6 bulan</x:v>
      </x:c>
      <x:c r="D4" s="28" t="str">
        <x:v>KR2</x:v>
      </x:c>
      <x:c r="E4" s="28" t="str">
        <x:v>Saft API bisa mengontrol VM lifecycle</x:v>
      </x:c>
      <x:c r="F4" s="28" t="str">
        <x:v>Sprint 3</x:v>
      </x:c>
      <x:c r="G4" s="28" t="str">
        <x:v>Sprint 3</x:v>
      </x:c>
      <x:c r="H4" s="28" t="str"/>
      <x:c r="I4" s="43" t="n">
        <x:v>0.7</x:v>
      </x:c>
      <x:c r="J4" s="28" t="str">
        <x:v>Not Started</x:v>
      </x:c>
      <x:c r="K4" s="28" t="str">
        <x:f>IF(J4="Done","Green",IF(J4="Blocked","Red",IF(I4&gt;=0.7,"Yellow","Red")))</x:f>
        <x:v>Yellow</x:v>
      </x:c>
      <x:c r="L4" s="28" t="str"/>
    </x:row>
    <x:row r="5">
      <x:c r="A5" s="28" t="str">
        <x:v>Program</x:v>
      </x:c>
      <x:c r="B5" s="28" t="str">
        <x:v>O1</x:v>
      </x:c>
      <x:c r="C5" s="28" t="str">
        <x:v>Membangun Saft VE POC yang siap didemokan dalam 6 bulan</x:v>
      </x:c>
      <x:c r="D5" s="28" t="str">
        <x:v>KR3</x:v>
      </x:c>
      <x:c r="E5" s="28" t="str">
        <x:v>Saft Portal bisa create/start/stop/reboot VM</x:v>
      </x:c>
      <x:c r="F5" s="28" t="str">
        <x:v>Sprint 4</x:v>
      </x:c>
      <x:c r="G5" s="28" t="str">
        <x:v>Sprint 4</x:v>
      </x:c>
      <x:c r="H5" s="28" t="str"/>
      <x:c r="I5" s="43" t="n">
        <x:v>0.7</x:v>
      </x:c>
      <x:c r="J5" s="28" t="str">
        <x:v>Not Started</x:v>
      </x:c>
      <x:c r="K5" s="28" t="str">
        <x:f>IF(J5="Done","Green",IF(J5="Blocked","Red",IF(I5&gt;=0.7,"Yellow","Red")))</x:f>
        <x:v>Yellow</x:v>
      </x:c>
      <x:c r="L5" s="28" t="str"/>
    </x:row>
    <x:row r="6">
      <x:c r="A6" s="28" t="str">
        <x:v>Program</x:v>
      </x:c>
      <x:c r="B6" s="28" t="str">
        <x:v>O1</x:v>
      </x:c>
      <x:c r="C6" s="28" t="str">
        <x:v>Membangun Saft VE POC yang siap didemokan dalam 6 bulan</x:v>
      </x:c>
      <x:c r="D6" s="28" t="str">
        <x:v>KR4</x:v>
      </x:c>
      <x:c r="E6" s="28" t="str">
        <x:v>Monitoring dashboard tersedia</x:v>
      </x:c>
      <x:c r="F6" s="28" t="str">
        <x:v>Sprint 5</x:v>
      </x:c>
      <x:c r="G6" s="28" t="str">
        <x:v>Sprint 5</x:v>
      </x:c>
      <x:c r="H6" s="28" t="str"/>
      <x:c r="I6" s="43" t="n">
        <x:v>0.7</x:v>
      </x:c>
      <x:c r="J6" s="28" t="str">
        <x:v>Not Started</x:v>
      </x:c>
      <x:c r="K6" s="28" t="str">
        <x:f>IF(J6="Done","Green",IF(J6="Blocked","Red",IF(I6&gt;=0.7,"Yellow","Red")))</x:f>
        <x:v>Yellow</x:v>
      </x:c>
      <x:c r="L6" s="28" t="str"/>
    </x:row>
    <x:row r="7">
      <x:c r="A7" s="28" t="str">
        <x:v>Program</x:v>
      </x:c>
      <x:c r="B7" s="28" t="str">
        <x:v>O1</x:v>
      </x:c>
      <x:c r="C7" s="28" t="str">
        <x:v>Membangun Saft VE POC yang siap didemokan dalam 6 bulan</x:v>
      </x:c>
      <x:c r="D7" s="28" t="str">
        <x:v>KR5</x:v>
      </x:c>
      <x:c r="E7" s="28" t="str">
        <x:v>Backup Governance v1 tersedia</x:v>
      </x:c>
      <x:c r="F7" s="28" t="str">
        <x:v>Sprint 6</x:v>
      </x:c>
      <x:c r="G7" s="28" t="str">
        <x:v>Sprint 6</x:v>
      </x:c>
      <x:c r="H7" s="28" t="str"/>
      <x:c r="I7" s="43" t="n">
        <x:v>0.7</x:v>
      </x:c>
      <x:c r="J7" s="28" t="str">
        <x:v>Not Started</x:v>
      </x:c>
      <x:c r="K7" s="28" t="str">
        <x:f>IF(J7="Done","Green",IF(J7="Blocked","Red",IF(I7&gt;=0.7,"Yellow","Red")))</x:f>
        <x:v>Yellow</x:v>
      </x:c>
      <x:c r="L7" s="28" t="str"/>
    </x:row>
    <x:row r="8">
      <x:c r="A8" s="28" t="str">
        <x:v>Program</x:v>
      </x:c>
      <x:c r="B8" s="28" t="str">
        <x:v>O1</x:v>
      </x:c>
      <x:c r="C8" s="28" t="str">
        <x:v>Membangun Saft VE POC yang siap didemokan dalam 6 bulan</x:v>
      </x:c>
      <x:c r="D8" s="28" t="str">
        <x:v>KR6</x:v>
      </x:c>
      <x:c r="E8" s="28" t="str">
        <x:v>Reporting PDF/Excel tersedia</x:v>
      </x:c>
      <x:c r="F8" s="28" t="str">
        <x:v>Sprint 7</x:v>
      </x:c>
      <x:c r="G8" s="28" t="str">
        <x:v>Sprint 7</x:v>
      </x:c>
      <x:c r="H8" s="28" t="str"/>
      <x:c r="I8" s="43" t="n">
        <x:v>0.7</x:v>
      </x:c>
      <x:c r="J8" s="28" t="str">
        <x:v>Not Started</x:v>
      </x:c>
      <x:c r="K8" s="28" t="str">
        <x:f>IF(J8="Done","Green",IF(J8="Blocked","Red",IF(I8&gt;=0.7,"Yellow","Red")))</x:f>
        <x:v>Yellow</x:v>
      </x:c>
      <x:c r="L8" s="28" t="str"/>
    </x:row>
    <x:row r="9">
      <x:c r="A9" s="28" t="str">
        <x:v>Program</x:v>
      </x:c>
      <x:c r="B9" s="28" t="str">
        <x:v>O1</x:v>
      </x:c>
      <x:c r="C9" s="28" t="str">
        <x:v>Membangun Saft VE POC yang siap didemokan dalam 6 bulan</x:v>
      </x:c>
      <x:c r="D9" s="28" t="str">
        <x:v>KR7</x:v>
      </x:c>
      <x:c r="E9" s="28" t="str">
        <x:v>Migration Workbench v1 tersedia</x:v>
      </x:c>
      <x:c r="F9" s="28" t="str">
        <x:v>Sprint 8</x:v>
      </x:c>
      <x:c r="G9" s="28" t="str">
        <x:v>Sprint 8</x:v>
      </x:c>
      <x:c r="H9" s="28" t="str"/>
      <x:c r="I9" s="43" t="n">
        <x:v>0.7</x:v>
      </x:c>
      <x:c r="J9" s="28" t="str">
        <x:v>Not Started</x:v>
      </x:c>
      <x:c r="K9" s="28" t="str">
        <x:f>IF(J9="Done","Green",IF(J9="Blocked","Red",IF(I9&gt;=0.7,"Yellow","Red")))</x:f>
        <x:v>Yellow</x:v>
      </x:c>
      <x:c r="L9" s="28" t="str"/>
    </x:row>
    <x:row r="10">
      <x:c r="A10" s="28" t="str">
        <x:v>Program</x:v>
      </x:c>
      <x:c r="B10" s="28" t="str">
        <x:v>O1</x:v>
      </x:c>
      <x:c r="C10" s="28" t="str">
        <x:v>Membangun Saft VE POC yang siap didemokan dalam 6 bulan</x:v>
      </x:c>
      <x:c r="D10" s="28" t="str">
        <x:v>KR8</x:v>
      </x:c>
      <x:c r="E10" s="28" t="str">
        <x:v>Cloud Lite tenant/quota/request tersedia</x:v>
      </x:c>
      <x:c r="F10" s="28" t="str">
        <x:v>Sprint 9</x:v>
      </x:c>
      <x:c r="G10" s="28" t="str">
        <x:v>Sprint 9</x:v>
      </x:c>
      <x:c r="H10" s="28" t="str"/>
      <x:c r="I10" s="43" t="n">
        <x:v>0.7</x:v>
      </x:c>
      <x:c r="J10" s="28" t="str">
        <x:v>Not Started</x:v>
      </x:c>
      <x:c r="K10" s="28" t="str">
        <x:f>IF(J10="Done","Green",IF(J10="Blocked","Red",IF(I10&gt;=0.7,"Yellow","Red")))</x:f>
        <x:v>Yellow</x:v>
      </x:c>
      <x:c r="L10" s="28" t="str"/>
    </x:row>
    <x:row r="11">
      <x:c r="A11" s="28" t="str">
        <x:v>Program</x:v>
      </x:c>
      <x:c r="B11" s="28" t="str">
        <x:v>O1</x:v>
      </x:c>
      <x:c r="C11" s="28" t="str">
        <x:v>Membangun Saft VE POC yang siap didemokan dalam 6 bulan</x:v>
      </x:c>
      <x:c r="D11" s="28" t="str">
        <x:v>KR9</x:v>
      </x:c>
      <x:c r="E11" s="28" t="str">
        <x:v>Installer dan deployment package tersedia</x:v>
      </x:c>
      <x:c r="F11" s="28" t="str">
        <x:v>Sprint 10</x:v>
      </x:c>
      <x:c r="G11" s="28" t="str">
        <x:v>Sprint 10</x:v>
      </x:c>
      <x:c r="H11" s="28" t="str"/>
      <x:c r="I11" s="43" t="n">
        <x:v>0.7</x:v>
      </x:c>
      <x:c r="J11" s="28" t="str">
        <x:v>Not Started</x:v>
      </x:c>
      <x:c r="K11" s="28" t="str">
        <x:f>IF(J11="Done","Green",IF(J11="Blocked","Red",IF(I11&gt;=0.7,"Yellow","Red")))</x:f>
        <x:v>Yellow</x:v>
      </x:c>
      <x:c r="L11" s="28" t="str"/>
    </x:row>
    <x:row r="12">
      <x:c r="A12" s="28" t="str">
        <x:v>Program</x:v>
      </x:c>
      <x:c r="B12" s="28" t="str">
        <x:v>O1</x:v>
      </x:c>
      <x:c r="C12" s="28" t="str">
        <x:v>Membangun Saft VE POC yang siap didemokan dalam 6 bulan</x:v>
      </x:c>
      <x:c r="D12" s="28" t="str">
        <x:v>KR10</x:v>
      </x:c>
      <x:c r="E12" s="28" t="str">
        <x:v>Full UAT POC lulus minimal 85%</x:v>
      </x:c>
      <x:c r="F12" s="28" t="str">
        <x:v>&gt;=85% pass</x:v>
      </x:c>
      <x:c r="G12" s="28" t="str">
        <x:v>Sprint 11</x:v>
      </x:c>
      <x:c r="H12" s="28" t="str"/>
      <x:c r="I12" s="43" t="n">
        <x:v>0.7</x:v>
      </x:c>
      <x:c r="J12" s="28" t="str">
        <x:v>Not Started</x:v>
      </x:c>
      <x:c r="K12" s="28" t="str">
        <x:f>IF(J12="Done","Green",IF(J12="Blocked","Red",IF(I12&gt;=0.7,"Yellow","Red")))</x:f>
        <x:v>Yellow</x:v>
      </x:c>
      <x:c r="L12" s="28" t="str"/>
    </x:row>
    <x:row r="13">
      <x:c r="A13" s="28" t="str">
        <x:v>Program</x:v>
      </x:c>
      <x:c r="B13" s="28" t="str">
        <x:v>O2</x:v>
      </x:c>
      <x:c r="C13" s="28" t="str">
        <x:v>Menyiapkan Saft VE sebagai produk yang layak dijual</x:v>
      </x:c>
      <x:c r="D13" s="28" t="str">
        <x:v>KR1</x:v>
      </x:c>
      <x:c r="E13" s="28" t="str">
        <x:v>Product sheet selesai</x:v>
      </x:c>
      <x:c r="F13" s="28" t="str">
        <x:v>Sprint 2</x:v>
      </x:c>
      <x:c r="G13" s="28" t="str">
        <x:v>Sprint 2</x:v>
      </x:c>
      <x:c r="H13" s="28" t="str"/>
      <x:c r="I13" s="43" t="n">
        <x:v>0.7</x:v>
      </x:c>
      <x:c r="J13" s="28" t="str">
        <x:v>Not Started</x:v>
      </x:c>
      <x:c r="K13" s="28" t="str">
        <x:f>IF(J13="Done","Green",IF(J13="Blocked","Red",IF(I13&gt;=0.7,"Yellow","Red")))</x:f>
        <x:v>Yellow</x:v>
      </x:c>
      <x:c r="L13" s="28" t="str"/>
    </x:row>
    <x:row r="14">
      <x:c r="A14" s="28" t="str">
        <x:v>Program</x:v>
      </x:c>
      <x:c r="B14" s="28" t="str">
        <x:v>O2</x:v>
      </x:c>
      <x:c r="C14" s="28" t="str">
        <x:v>Menyiapkan Saft VE sebagai produk yang layak dijual</x:v>
      </x:c>
      <x:c r="D14" s="28" t="str">
        <x:v>KR2</x:v>
      </x:c>
      <x:c r="E14" s="28" t="str">
        <x:v>Pitch deck sales selesai</x:v>
      </x:c>
      <x:c r="F14" s="28" t="str">
        <x:v>Sprint 4</x:v>
      </x:c>
      <x:c r="G14" s="28" t="str">
        <x:v>Sprint 4</x:v>
      </x:c>
      <x:c r="H14" s="28" t="str"/>
      <x:c r="I14" s="43" t="n">
        <x:v>0.7</x:v>
      </x:c>
      <x:c r="J14" s="28" t="str">
        <x:v>Not Started</x:v>
      </x:c>
      <x:c r="K14" s="28" t="str">
        <x:f>IF(J14="Done","Green",IF(J14="Blocked","Red",IF(I14&gt;=0.7,"Yellow","Red")))</x:f>
        <x:v>Yellow</x:v>
      </x:c>
      <x:c r="L14" s="28" t="str"/>
    </x:row>
    <x:row r="15">
      <x:c r="A15" s="28" t="str">
        <x:v>Program</x:v>
      </x:c>
      <x:c r="B15" s="28" t="str">
        <x:v>O2</x:v>
      </x:c>
      <x:c r="C15" s="28" t="str">
        <x:v>Menyiapkan Saft VE sebagai produk yang layak dijual</x:v>
      </x:c>
      <x:c r="D15" s="28" t="str">
        <x:v>KR3</x:v>
      </x:c>
      <x:c r="E15" s="28" t="str">
        <x:v>Battle card vs Proxmox/Awanio selesai</x:v>
      </x:c>
      <x:c r="F15" s="28" t="str">
        <x:v>Sprint 4</x:v>
      </x:c>
      <x:c r="G15" s="28" t="str">
        <x:v>Sprint 4</x:v>
      </x:c>
      <x:c r="H15" s="28" t="str"/>
      <x:c r="I15" s="43" t="n">
        <x:v>0.7</x:v>
      </x:c>
      <x:c r="J15" s="28" t="str">
        <x:v>Not Started</x:v>
      </x:c>
      <x:c r="K15" s="28" t="str">
        <x:f>IF(J15="Done","Green",IF(J15="Blocked","Red",IF(I15&gt;=0.7,"Yellow","Red")))</x:f>
        <x:v>Yellow</x:v>
      </x:c>
      <x:c r="L15" s="28" t="str"/>
    </x:row>
    <x:row r="16">
      <x:c r="A16" s="28" t="str">
        <x:v>Program</x:v>
      </x:c>
      <x:c r="B16" s="28" t="str">
        <x:v>O2</x:v>
      </x:c>
      <x:c r="C16" s="28" t="str">
        <x:v>Menyiapkan Saft VE sebagai produk yang layak dijual</x:v>
      </x:c>
      <x:c r="D16" s="28" t="str">
        <x:v>KR4</x:v>
      </x:c>
      <x:c r="E16" s="28" t="str">
        <x:v>Proposal, RAB, SOW, SLA customer-ready selesai</x:v>
      </x:c>
      <x:c r="F16" s="28" t="str">
        <x:v>Sprint 10</x:v>
      </x:c>
      <x:c r="G16" s="28" t="str">
        <x:v>Sprint 10</x:v>
      </x:c>
      <x:c r="H16" s="28" t="str"/>
      <x:c r="I16" s="43" t="n">
        <x:v>0.7</x:v>
      </x:c>
      <x:c r="J16" s="28" t="str">
        <x:v>Not Started</x:v>
      </x:c>
      <x:c r="K16" s="28" t="str">
        <x:f>IF(J16="Done","Green",IF(J16="Blocked","Red",IF(I16&gt;=0.7,"Yellow","Red")))</x:f>
        <x:v>Yellow</x:v>
      </x:c>
      <x:c r="L16" s="28" t="str"/>
    </x:row>
    <x:row r="17">
      <x:c r="A17" s="28" t="str">
        <x:v>Program</x:v>
      </x:c>
      <x:c r="B17" s="28" t="str">
        <x:v>O2</x:v>
      </x:c>
      <x:c r="C17" s="28" t="str">
        <x:v>Menyiapkan Saft VE sebagai produk yang layak dijual</x:v>
      </x:c>
      <x:c r="D17" s="28" t="str">
        <x:v>KR5</x:v>
      </x:c>
      <x:c r="E17" s="28" t="str">
        <x:v>10–20 target account dan 3–5 discovery meeting plan selesai</x:v>
      </x:c>
      <x:c r="F17" s="28" t="str">
        <x:v>Sprint 11</x:v>
      </x:c>
      <x:c r="G17" s="28" t="str">
        <x:v>Sprint 11</x:v>
      </x:c>
      <x:c r="H17" s="28" t="str"/>
      <x:c r="I17" s="43" t="n">
        <x:v>0.7</x:v>
      </x:c>
      <x:c r="J17" s="28" t="str">
        <x:v>Not Started</x:v>
      </x:c>
      <x:c r="K17" s="28" t="str">
        <x:f>IF(J17="Done","Green",IF(J17="Blocked","Red",IF(I17&gt;=0.7,"Yellow","Red")))</x:f>
        <x:v>Yellow</x:v>
      </x:c>
      <x:c r="L17" s="28" t="str"/>
    </x:row>
    <x:row r="18">
      <x:c r="A18" s="28" t="str">
        <x:v>Product Owner</x:v>
      </x:c>
      <x:c r="B18" s="28" t="str">
        <x:v>R-PO</x:v>
      </x:c>
      <x:c r="C18" s="28" t="str">
        <x:v>Memastikan scope, backlog, dan acceptance POC terkendali</x:v>
      </x:c>
      <x:c r="D18" s="28" t="str">
        <x:v>KR1</x:v>
      </x:c>
      <x:c r="E18" s="28" t="str">
        <x:v>Backlog siap sebelum setiap sprint</x:v>
      </x:c>
      <x:c r="F18" s="28" t="str">
        <x:v>100%</x:v>
      </x:c>
      <x:c r="G18" s="28" t="str">
        <x:v>Sprint 11</x:v>
      </x:c>
      <x:c r="H18" s="28" t="str"/>
      <x:c r="I18" s="43" t="n">
        <x:v>0.7</x:v>
      </x:c>
      <x:c r="J18" s="28" t="str">
        <x:v>Not Started</x:v>
      </x:c>
      <x:c r="K18" s="28" t="str">
        <x:f>IF(J18="Done","Green",IF(J18="Blocked","Red",IF(I18&gt;=0.7,"Yellow","Red")))</x:f>
        <x:v>Yellow</x:v>
      </x:c>
      <x:c r="L18" s="28" t="str"/>
    </x:row>
    <x:row r="19">
      <x:c r="A19" s="28" t="str">
        <x:v>Solution Architect</x:v>
      </x:c>
      <x:c r="B19" s="28" t="str">
        <x:v>R-SA</x:v>
      </x:c>
      <x:c r="C19" s="28" t="str">
        <x:v>Menjaga arsitektur stabil dan realistis</x:v>
      </x:c>
      <x:c r="D19" s="28" t="str">
        <x:v>KR1</x:v>
      </x:c>
      <x:c r="E19" s="28" t="str">
        <x:v>Semua technical decision utama terdokumentasi</x:v>
      </x:c>
      <x:c r="F19" s="28" t="str">
        <x:v>100%</x:v>
      </x:c>
      <x:c r="G19" s="28" t="str">
        <x:v>Sprint 11</x:v>
      </x:c>
      <x:c r="H19" s="28" t="str"/>
      <x:c r="I19" s="43" t="n">
        <x:v>0.7</x:v>
      </x:c>
      <x:c r="J19" s="28" t="str">
        <x:v>Not Started</x:v>
      </x:c>
      <x:c r="K19" s="28" t="str">
        <x:f>IF(J19="Done","Green",IF(J19="Blocked","Red",IF(I19&gt;=0.7,"Yellow","Red")))</x:f>
        <x:v>Yellow</x:v>
      </x:c>
      <x:c r="L19" s="28" t="str"/>
    </x:row>
    <x:row r="20">
      <x:c r="A20" s="28" t="str">
        <x:v>Infra/OpenNebula Engineer</x:v>
      </x:c>
      <x:c r="B20" s="28" t="str">
        <x:v>R-INF</x:v>
      </x:c>
      <x:c r="C20" s="28" t="str">
        <x:v>Menyiapkan engine, KVM host, storage, network, dan installer</x:v>
      </x:c>
      <x:c r="D20" s="28" t="str">
        <x:v>KR1</x:v>
      </x:c>
      <x:c r="E20" s="28" t="str">
        <x:v>OpenNebula + 2 KVM host stabil</x:v>
      </x:c>
      <x:c r="F20" s="28" t="str">
        <x:v>&gt;=95% uptime lab</x:v>
      </x:c>
      <x:c r="G20" s="28" t="str">
        <x:v>Sprint 11</x:v>
      </x:c>
      <x:c r="H20" s="28" t="str"/>
      <x:c r="I20" s="43" t="n">
        <x:v>0.7</x:v>
      </x:c>
      <x:c r="J20" s="28" t="str">
        <x:v>Not Started</x:v>
      </x:c>
      <x:c r="K20" s="28" t="str">
        <x:f>IF(J20="Done","Green",IF(J20="Blocked","Red",IF(I20&gt;=0.7,"Yellow","Red")))</x:f>
        <x:v>Yellow</x:v>
      </x:c>
      <x:c r="L20" s="28" t="str"/>
    </x:row>
    <x:row r="21">
      <x:c r="A21" s="28" t="str">
        <x:v>Backend Engineer</x:v>
      </x:c>
      <x:c r="B21" s="28" t="str">
        <x:v>R-BE</x:v>
      </x:c>
      <x:c r="C21" s="28" t="str">
        <x:v>Membangun API, adapter, workflow, audit, reporting</x:v>
      </x:c>
      <x:c r="D21" s="28" t="str">
        <x:v>KR1</x:v>
      </x:c>
      <x:c r="E21" s="28" t="str">
        <x:v>API delivery minimal 85% per sprint</x:v>
      </x:c>
      <x:c r="F21" s="28" t="str">
        <x:v>&gt;=85%</x:v>
      </x:c>
      <x:c r="G21" s="28" t="str">
        <x:v>Sprint 11</x:v>
      </x:c>
      <x:c r="H21" s="28" t="str"/>
      <x:c r="I21" s="43" t="n">
        <x:v>0.7</x:v>
      </x:c>
      <x:c r="J21" s="28" t="str">
        <x:v>Not Started</x:v>
      </x:c>
      <x:c r="K21" s="28" t="str">
        <x:f>IF(J21="Done","Green",IF(J21="Blocked","Red",IF(I21&gt;=0.7,"Yellow","Red")))</x:f>
        <x:v>Yellow</x:v>
      </x:c>
      <x:c r="L21" s="28" t="str"/>
    </x:row>
    <x:row r="22">
      <x:c r="A22" s="28" t="str">
        <x:v>Frontend Engineer</x:v>
      </x:c>
      <x:c r="B22" s="28" t="str">
        <x:v>R-FE</x:v>
      </x:c>
      <x:c r="C22" s="28" t="str">
        <x:v>Membangun Saft Portal demo-ready</x:v>
      </x:c>
      <x:c r="D22" s="28" t="str">
        <x:v>KR1</x:v>
      </x:c>
      <x:c r="E22" s="28" t="str">
        <x:v>UI delivery minimal 85% per sprint</x:v>
      </x:c>
      <x:c r="F22" s="28" t="str">
        <x:v>&gt;=85%</x:v>
      </x:c>
      <x:c r="G22" s="28" t="str">
        <x:v>Sprint 11</x:v>
      </x:c>
      <x:c r="H22" s="28" t="str"/>
      <x:c r="I22" s="43" t="n">
        <x:v>0.7</x:v>
      </x:c>
      <x:c r="J22" s="28" t="str">
        <x:v>Not Started</x:v>
      </x:c>
      <x:c r="K22" s="28" t="str">
        <x:f>IF(J22="Done","Green",IF(J22="Blocked","Red",IF(I22&gt;=0.7,"Yellow","Red")))</x:f>
        <x:v>Yellow</x:v>
      </x:c>
      <x:c r="L22" s="28" t="str"/>
    </x:row>
    <x:row r="23">
      <x:c r="A23" s="28" t="str">
        <x:v>QA/Tester</x:v>
      </x:c>
      <x:c r="B23" s="28" t="str">
        <x:v>R-QA</x:v>
      </x:c>
      <x:c r="C23" s="28" t="str">
        <x:v>Memastikan POC teruji dan memenuhi acceptance criteria</x:v>
      </x:c>
      <x:c r="D23" s="28" t="str">
        <x:v>KR1</x:v>
      </x:c>
      <x:c r="E23" s="28" t="str">
        <x:v>UAT pass rate minimal 85%</x:v>
      </x:c>
      <x:c r="F23" s="28" t="str">
        <x:v>&gt;=85%</x:v>
      </x:c>
      <x:c r="G23" s="28" t="str">
        <x:v>Sprint 11</x:v>
      </x:c>
      <x:c r="H23" s="28" t="str"/>
      <x:c r="I23" s="43" t="n">
        <x:v>0.7</x:v>
      </x:c>
      <x:c r="J23" s="28" t="str">
        <x:v>Not Started</x:v>
      </x:c>
      <x:c r="K23" s="28" t="str">
        <x:f>IF(J23="Done","Green",IF(J23="Blocked","Red",IF(I23&gt;=0.7,"Yellow","Red")))</x:f>
        <x:v>Yellow</x:v>
      </x:c>
      <x:c r="L23" s="28" t="str"/>
    </x:row>
    <x:row r="24">
      <x:c r="A24" s="28" t="str">
        <x:v>Technical Writer</x:v>
      </x:c>
      <x:c r="B24" s="28" t="str">
        <x:v>R-TW</x:v>
      </x:c>
      <x:c r="C24" s="28" t="str">
        <x:v>Menyediakan SOP, admin guide, UAT, BAST, release note</x:v>
      </x:c>
      <x:c r="D24" s="28" t="str">
        <x:v>KR1</x:v>
      </x:c>
      <x:c r="E24" s="28" t="str">
        <x:v>Documentation completion minimal 90%</x:v>
      </x:c>
      <x:c r="F24" s="28" t="str">
        <x:v>&gt;=90%</x:v>
      </x:c>
      <x:c r="G24" s="28" t="str">
        <x:v>Sprint 11</x:v>
      </x:c>
      <x:c r="H24" s="28" t="str"/>
      <x:c r="I24" s="43" t="n">
        <x:v>0.7</x:v>
      </x:c>
      <x:c r="J24" s="28" t="str">
        <x:v>Not Started</x:v>
      </x:c>
      <x:c r="K24" s="28" t="str">
        <x:f>IF(J24="Done","Green",IF(J24="Blocked","Red",IF(I24&gt;=0.7,"Yellow","Red")))</x:f>
        <x:v>Yellow</x:v>
      </x:c>
      <x:c r="L24" s="28" t="str"/>
    </x:row>
    <x:row r="25">
      <x:c r="A25" s="28" t="str">
        <x:v>Sales/Marketing/Presales</x:v>
      </x:c>
      <x:c r="B25" s="28" t="str">
        <x:v>R-SALES</x:v>
      </x:c>
      <x:c r="C25" s="28" t="str">
        <x:v>Menyiapkan produk untuk dipasarkan dan dipilotkan</x:v>
      </x:c>
      <x:c r="D25" s="28" t="str">
        <x:v>KR1</x:v>
      </x:c>
      <x:c r="E25" s="28" t="str">
        <x:v>Sales collateral readiness minimal 90%</x:v>
      </x:c>
      <x:c r="F25" s="28" t="str">
        <x:v>&gt;=90%</x:v>
      </x:c>
      <x:c r="G25" s="28" t="str">
        <x:v>Sprint 11</x:v>
      </x:c>
      <x:c r="H25" s="28" t="str"/>
      <x:c r="I25" s="43" t="n">
        <x:v>0.7</x:v>
      </x:c>
      <x:c r="J25" s="28" t="str">
        <x:v>Not Started</x:v>
      </x:c>
      <x:c r="K25" s="28" t="str">
        <x:f>IF(J25="Done","Green",IF(J25="Blocked","Red",IF(I25&gt;=0.7,"Yellow","Red")))</x:f>
        <x:v>Yellow</x:v>
      </x:c>
      <x:c r="L25" s="28" t="str"/>
    </x:row>
  </x:sheetData>
  <x:mergeCells>
    <x:mergeCell ref="A1:L1"/>
  </x:mergeCells>
  <x:conditionalFormatting sqref="K3:K25">
    <x:cfRule type="expression" dxfId="4" priority="1">
      <x:formula>K3="Green"</x:formula>
    </x:cfRule>
    <x:cfRule type="expression" dxfId="5" priority="2">
      <x:formula>K3="Yellow"</x:formula>
    </x:cfRule>
    <x:cfRule type="expression" dxfId="6" priority="3">
      <x:formula>K3="Red"</x:formula>
    </x:cfRule>
    <x:cfRule type="expression" dxfId="7" priority="4">
      <x:formula>K3="Black"</x:formula>
    </x:cfRule>
  </x:conditionalFormatting>
  <x:dataValidations count="2">
    <x:dataValidation type="list" sqref="J3:J25">
      <x:formula1>Lookups!$A$2:$A$7</x:formula1>
    </x:dataValidation>
    <x:dataValidation type="list" sqref="K3:K25">
      <x:formula1>Lookups!$C$2:$C$5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38f543a7ab44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42" hidden="0" customWidth="1"/>
    <x:col min="4" max="4" width="10" hidden="0" customWidth="1"/>
    <x:col min="5" max="5" width="13" hidden="0" customWidth="1"/>
    <x:col min="6" max="6" width="14" hidden="0" customWidth="1"/>
    <x:col min="7" max="7" width="14" hidden="0" customWidth="1"/>
    <x:col min="8" max="8" width="10" hidden="0" customWidth="1"/>
    <x:col min="9" max="9" width="12" hidden="0" customWidth="1"/>
    <x:col min="10" max="10" width="10" hidden="0" customWidth="1"/>
    <x:col min="11" max="11" width="10" hidden="0" customWidth="1"/>
    <x:col min="12" max="12" width="24" hidden="0" customWidth="1"/>
    <x:col min="13" max="13" width="32" hidden="0" customWidth="1"/>
  </x:cols>
  <x:sheetData>
    <x:row r="1" ht="28" customHeight="1">
      <x:c r="A1" s="15" t="str">
        <x:v>Role KPI — Saft VE POC</x:v>
      </x:c>
    </x:row>
    <x:row r="2" ht="28" customHeight="1">
      <x:c r="A2" s="6" t="str">
        <x:v>Role</x:v>
      </x:c>
      <x:c r="B2" s="6" t="str">
        <x:v>KPI ID</x:v>
      </x:c>
      <x:c r="C2" s="6" t="str">
        <x:v>KPI Name</x:v>
      </x:c>
      <x:c r="D2" s="6" t="str">
        <x:v>Direction</x:v>
      </x:c>
      <x:c r="E2" s="6" t="str">
        <x:v>Target Value</x:v>
      </x:c>
      <x:c r="F2" s="6" t="str">
        <x:v>Unit</x:v>
      </x:c>
      <x:c r="G2" s="6" t="str">
        <x:v>Frequency</x:v>
      </x:c>
      <x:c r="H2" s="6" t="str">
        <x:v>Weight</x:v>
      </x:c>
      <x:c r="I2" s="6" t="str">
        <x:v>Actual</x:v>
      </x:c>
      <x:c r="J2" s="6" t="str">
        <x:v>Score</x:v>
      </x:c>
      <x:c r="K2" s="6" t="str">
        <x:v>RAG</x:v>
      </x:c>
      <x:c r="L2" s="6" t="str">
        <x:v>Evidence</x:v>
      </x:c>
      <x:c r="M2" s="6" t="str">
        <x:v>Notes</x:v>
      </x:c>
    </x:row>
    <x:row r="3">
      <x:c r="A3" s="28" t="str">
        <x:v>Product Owner</x:v>
      </x:c>
      <x:c r="B3" s="28" t="str">
        <x:v>PO-01</x:v>
      </x:c>
      <x:c r="C3" s="28" t="str">
        <x:v>Backlog readiness before sprint</x:v>
      </x:c>
      <x:c r="D3" s="28" t="str">
        <x:v>&gt;=</x:v>
      </x:c>
      <x:c r="E3" s="28" t="n">
        <x:v>100</x:v>
      </x:c>
      <x:c r="F3" s="28" t="str">
        <x:v>%</x:v>
      </x:c>
      <x:c r="G3" s="28" t="str">
        <x:v>Sprint</x:v>
      </x:c>
      <x:c r="H3" s="43" t="n">
        <x:v>0.25</x:v>
      </x:c>
      <x:c r="I3" s="28" t="str"/>
      <x:c r="J3" s="48" t="str">
        <x:f>IF(I3="","",IF(D3="&gt;=",MIN(100,I3/E3*100),IF(I3=0,IF(E3=0,100,0),MIN(100,E3/I3*100))))</x:f>
      </x:c>
      <x:c r="K3" s="28" t="str">
        <x:f>IF(J3="","",IF(J3&gt;=90,"Green",IF(J3&gt;=70,"Yellow","Red")))</x:f>
      </x:c>
      <x:c r="L3" s="28" t="str">
        <x:v>Backlog board</x:v>
      </x:c>
      <x:c r="M3" s="28" t="str"/>
    </x:row>
    <x:row r="4">
      <x:c r="A4" s="28" t="str">
        <x:v>Product Owner</x:v>
      </x:c>
      <x:c r="B4" s="28" t="str">
        <x:v>PO-02</x:v>
      </x:c>
      <x:c r="C4" s="28" t="str">
        <x:v>Requirement clarity score</x:v>
      </x:c>
      <x:c r="D4" s="28" t="str">
        <x:v>&gt;=</x:v>
      </x:c>
      <x:c r="E4" s="28" t="n">
        <x:v>85</x:v>
      </x:c>
      <x:c r="F4" s="28" t="str">
        <x:v>%</x:v>
      </x:c>
      <x:c r="G4" s="28" t="str">
        <x:v>Sprint</x:v>
      </x:c>
      <x:c r="H4" s="43" t="n">
        <x:v>0.2</x:v>
      </x:c>
      <x:c r="I4" s="28" t="str"/>
      <x:c r="J4" s="48" t="str">
        <x:f>IF(I4="","",IF(D4="&gt;=",MIN(100,I4/E4*100),IF(I4=0,IF(E4=0,100,0),MIN(100,E4/I4*100))))</x:f>
      </x:c>
      <x:c r="K4" s="28" t="str">
        <x:f>IF(J4="","",IF(J4&gt;=90,"Green",IF(J4&gt;=70,"Yellow","Red")))</x:f>
      </x:c>
      <x:c r="L4" s="28" t="str">
        <x:v>Team feedback</x:v>
      </x:c>
      <x:c r="M4" s="28" t="str"/>
    </x:row>
    <x:row r="5">
      <x:c r="A5" s="28" t="str">
        <x:v>Product Owner</x:v>
      </x:c>
      <x:c r="B5" s="28" t="str">
        <x:v>PO-03</x:v>
      </x:c>
      <x:c r="C5" s="28" t="str">
        <x:v>Sprint acceptance rate</x:v>
      </x:c>
      <x:c r="D5" s="28" t="str">
        <x:v>&gt;=</x:v>
      </x:c>
      <x:c r="E5" s="28" t="n">
        <x:v>85</x:v>
      </x:c>
      <x:c r="F5" s="28" t="str">
        <x:v>%</x:v>
      </x:c>
      <x:c r="G5" s="28" t="str">
        <x:v>Sprint</x:v>
      </x:c>
      <x:c r="H5" s="43" t="n">
        <x:v>0.25</x:v>
      </x:c>
      <x:c r="I5" s="28" t="str"/>
      <x:c r="J5" s="48" t="str">
        <x:f>IF(I5="","",IF(D5="&gt;=",MIN(100,I5/E5*100),IF(I5=0,IF(E5=0,100,0),MIN(100,E5/I5*100))))</x:f>
      </x:c>
      <x:c r="K5" s="28" t="str">
        <x:f>IF(J5="","",IF(J5&gt;=90,"Green",IF(J5&gt;=70,"Yellow","Red")))</x:f>
      </x:c>
      <x:c r="L5" s="28" t="str">
        <x:v>Sprint review</x:v>
      </x:c>
      <x:c r="M5" s="28" t="str"/>
    </x:row>
    <x:row r="6">
      <x:c r="A6" s="28" t="str">
        <x:v>Product Owner</x:v>
      </x:c>
      <x:c r="B6" s="28" t="str">
        <x:v>PO-04</x:v>
      </x:c>
      <x:c r="C6" s="28" t="str">
        <x:v>Uncontrolled change requests</x:v>
      </x:c>
      <x:c r="D6" s="28" t="str">
        <x:v>&lt;=</x:v>
      </x:c>
      <x:c r="E6" s="28" t="n">
        <x:v>2</x:v>
      </x:c>
      <x:c r="F6" s="28" t="str">
        <x:v>count/month</x:v>
      </x:c>
      <x:c r="G6" s="28" t="str">
        <x:v>Monthly</x:v>
      </x:c>
      <x:c r="H6" s="43" t="n">
        <x:v>0.15</x:v>
      </x:c>
      <x:c r="I6" s="28" t="str"/>
      <x:c r="J6" s="48" t="str">
        <x:f>IF(I6="","",IF(D6="&gt;=",MIN(100,I6/E6*100),IF(I6=0,IF(E6=0,100,0),MIN(100,E6/I6*100))))</x:f>
      </x:c>
      <x:c r="K6" s="28" t="str">
        <x:f>IF(J6="","",IF(J6&gt;=90,"Green",IF(J6&gt;=70,"Yellow","Red")))</x:f>
      </x:c>
      <x:c r="L6" s="28" t="str">
        <x:v>Change log</x:v>
      </x:c>
      <x:c r="M6" s="28" t="str"/>
    </x:row>
    <x:row r="7">
      <x:c r="A7" s="28" t="str">
        <x:v>Product Owner</x:v>
      </x:c>
      <x:c r="B7" s="28" t="str">
        <x:v>PO-05</x:v>
      </x:c>
      <x:c r="C7" s="28" t="str">
        <x:v>Product decision delay</x:v>
      </x:c>
      <x:c r="D7" s="28" t="str">
        <x:v>&lt;=</x:v>
      </x:c>
      <x:c r="E7" s="28" t="n">
        <x:v>2</x:v>
      </x:c>
      <x:c r="F7" s="28" t="str">
        <x:v>working days</x:v>
      </x:c>
      <x:c r="G7" s="28" t="str">
        <x:v>Weekly</x:v>
      </x:c>
      <x:c r="H7" s="43" t="n">
        <x:v>0.15</x:v>
      </x:c>
      <x:c r="I7" s="28" t="str"/>
      <x:c r="J7" s="48" t="str">
        <x:f>IF(I7="","",IF(D7="&gt;=",MIN(100,I7/E7*100),IF(I7=0,IF(E7=0,100,0),MIN(100,E7/I7*100))))</x:f>
      </x:c>
      <x:c r="K7" s="28" t="str">
        <x:f>IF(J7="","",IF(J7&gt;=90,"Green",IF(J7&gt;=70,"Yellow","Red")))</x:f>
      </x:c>
      <x:c r="L7" s="28" t="str">
        <x:v>Decision log</x:v>
      </x:c>
      <x:c r="M7" s="28" t="str"/>
    </x:row>
    <x:row r="8">
      <x:c r="A8" s="28" t="str">
        <x:v>Solution Architect</x:v>
      </x:c>
      <x:c r="B8" s="28" t="str">
        <x:v>SA-01</x:v>
      </x:c>
      <x:c r="C8" s="28" t="str">
        <x:v>Architecture document completion</x:v>
      </x:c>
      <x:c r="D8" s="28" t="str">
        <x:v>&gt;=</x:v>
      </x:c>
      <x:c r="E8" s="28" t="n">
        <x:v>95</x:v>
      </x:c>
      <x:c r="F8" s="28" t="str">
        <x:v>%</x:v>
      </x:c>
      <x:c r="G8" s="28" t="str">
        <x:v>Sprint</x:v>
      </x:c>
      <x:c r="H8" s="43" t="n">
        <x:v>0.25</x:v>
      </x:c>
      <x:c r="I8" s="28" t="str"/>
      <x:c r="J8" s="48" t="str">
        <x:f>IF(I8="","",IF(D8="&gt;=",MIN(100,I8/E8*100),IF(I8=0,IF(E8=0,100,0),MIN(100,E8/I8*100))))</x:f>
      </x:c>
      <x:c r="K8" s="28" t="str">
        <x:f>IF(J8="","",IF(J8&gt;=90,"Green",IF(J8&gt;=70,"Yellow","Red")))</x:f>
      </x:c>
      <x:c r="L8" s="28" t="str">
        <x:v>TSD/diagrams</x:v>
      </x:c>
      <x:c r="M8" s="28" t="str"/>
    </x:row>
    <x:row r="9">
      <x:c r="A9" s="28" t="str">
        <x:v>Solution Architect</x:v>
      </x:c>
      <x:c r="B9" s="28" t="str">
        <x:v>SA-02</x:v>
      </x:c>
      <x:c r="C9" s="28" t="str">
        <x:v>Technical decision record coverage</x:v>
      </x:c>
      <x:c r="D9" s="28" t="str">
        <x:v>&gt;=</x:v>
      </x:c>
      <x:c r="E9" s="28" t="n">
        <x:v>100</x:v>
      </x:c>
      <x:c r="F9" s="28" t="str">
        <x:v>%</x:v>
      </x:c>
      <x:c r="G9" s="28" t="str">
        <x:v>Sprint</x:v>
      </x:c>
      <x:c r="H9" s="43" t="n">
        <x:v>0.2</x:v>
      </x:c>
      <x:c r="I9" s="28" t="str"/>
      <x:c r="J9" s="48" t="str">
        <x:f>IF(I9="","",IF(D9="&gt;=",MIN(100,I9/E9*100),IF(I9=0,IF(E9=0,100,0),MIN(100,E9/I9*100))))</x:f>
      </x:c>
      <x:c r="K9" s="28" t="str">
        <x:f>IF(J9="","",IF(J9&gt;=90,"Green",IF(J9&gt;=70,"Yellow","Red")))</x:f>
      </x:c>
      <x:c r="L9" s="28" t="str">
        <x:v>TDR log</x:v>
      </x:c>
      <x:c r="M9" s="28" t="str"/>
    </x:row>
    <x:row r="10">
      <x:c r="A10" s="28" t="str">
        <x:v>Solution Architect</x:v>
      </x:c>
      <x:c r="B10" s="28" t="str">
        <x:v>SA-03</x:v>
      </x:c>
      <x:c r="C10" s="28" t="str">
        <x:v>Design defect after implementation</x:v>
      </x:c>
      <x:c r="D10" s="28" t="str">
        <x:v>&lt;=</x:v>
      </x:c>
      <x:c r="E10" s="28" t="n">
        <x:v>2</x:v>
      </x:c>
      <x:c r="F10" s="28" t="str">
        <x:v>major/sprint</x:v>
      </x:c>
      <x:c r="G10" s="28" t="str">
        <x:v>Sprint</x:v>
      </x:c>
      <x:c r="H10" s="43" t="n">
        <x:v>0.2</x:v>
      </x:c>
      <x:c r="I10" s="28" t="str"/>
      <x:c r="J10" s="48" t="str">
        <x:f>IF(I10="","",IF(D10="&gt;=",MIN(100,I10/E10*100),IF(I10=0,IF(E10=0,100,0),MIN(100,E10/I10*100))))</x:f>
      </x:c>
      <x:c r="K10" s="28" t="str">
        <x:f>IF(J10="","",IF(J10&gt;=90,"Green",IF(J10&gt;=70,"Yellow","Red")))</x:f>
      </x:c>
      <x:c r="L10" s="28" t="str">
        <x:v>Bug log</x:v>
      </x:c>
      <x:c r="M10" s="28" t="str"/>
    </x:row>
    <x:row r="11">
      <x:c r="A11" s="28" t="str">
        <x:v>Solution Architect</x:v>
      </x:c>
      <x:c r="B11" s="28" t="str">
        <x:v>SA-04</x:v>
      </x:c>
      <x:c r="C11" s="28" t="str">
        <x:v>Security review completion</x:v>
      </x:c>
      <x:c r="D11" s="28" t="str">
        <x:v>&gt;=</x:v>
      </x:c>
      <x:c r="E11" s="28" t="n">
        <x:v>100</x:v>
      </x:c>
      <x:c r="F11" s="28" t="str">
        <x:v>%</x:v>
      </x:c>
      <x:c r="G11" s="28" t="str">
        <x:v>Sprint</x:v>
      </x:c>
      <x:c r="H11" s="43" t="n">
        <x:v>0.2</x:v>
      </x:c>
      <x:c r="I11" s="28" t="str"/>
      <x:c r="J11" s="48" t="str">
        <x:f>IF(I11="","",IF(D11="&gt;=",MIN(100,I11/E11*100),IF(I11=0,IF(E11=0,100,0),MIN(100,E11/I11*100))))</x:f>
      </x:c>
      <x:c r="K11" s="28" t="str">
        <x:f>IF(J11="","",IF(J11&gt;=90,"Green",IF(J11&gt;=70,"Yellow","Red")))</x:f>
      </x:c>
      <x:c r="L11" s="28" t="str">
        <x:v>Security review</x:v>
      </x:c>
      <x:c r="M11" s="28" t="str"/>
    </x:row>
    <x:row r="12">
      <x:c r="A12" s="28" t="str">
        <x:v>Solution Architect</x:v>
      </x:c>
      <x:c r="B12" s="28" t="str">
        <x:v>SA-05</x:v>
      </x:c>
      <x:c r="C12" s="28" t="str">
        <x:v>Integration risks with mitigation</x:v>
      </x:c>
      <x:c r="D12" s="28" t="str">
        <x:v>&gt;=</x:v>
      </x:c>
      <x:c r="E12" s="28" t="n">
        <x:v>80</x:v>
      </x:c>
      <x:c r="F12" s="28" t="str">
        <x:v>%</x:v>
      </x:c>
      <x:c r="G12" s="28" t="str">
        <x:v>Sprint</x:v>
      </x:c>
      <x:c r="H12" s="43" t="n">
        <x:v>0.15</x:v>
      </x:c>
      <x:c r="I12" s="28" t="str"/>
      <x:c r="J12" s="48" t="str">
        <x:f>IF(I12="","",IF(D12="&gt;=",MIN(100,I12/E12*100),IF(I12=0,IF(E12=0,100,0),MIN(100,E12/I12*100))))</x:f>
      </x:c>
      <x:c r="K12" s="28" t="str">
        <x:f>IF(J12="","",IF(J12&gt;=90,"Green",IF(J12&gt;=70,"Yellow","Red")))</x:f>
      </x:c>
      <x:c r="L12" s="28" t="str">
        <x:v>Risk register</x:v>
      </x:c>
      <x:c r="M12" s="28" t="str"/>
    </x:row>
    <x:row r="13">
      <x:c r="A13" s="28" t="str">
        <x:v>Infra/OpenNebula Engineer</x:v>
      </x:c>
      <x:c r="B13" s="28" t="str">
        <x:v>INF-01</x:v>
      </x:c>
      <x:c r="C13" s="28" t="str">
        <x:v>OpenNebula installation success</x:v>
      </x:c>
      <x:c r="D13" s="28" t="str">
        <x:v>&gt;=</x:v>
      </x:c>
      <x:c r="E13" s="28" t="n">
        <x:v>100</x:v>
      </x:c>
      <x:c r="F13" s="28" t="str">
        <x:v>%</x:v>
      </x:c>
      <x:c r="G13" s="28" t="str">
        <x:v>Sprint</x:v>
      </x:c>
      <x:c r="H13" s="43" t="n">
        <x:v>0.2</x:v>
      </x:c>
      <x:c r="I13" s="28" t="str"/>
      <x:c r="J13" s="48" t="str">
        <x:f>IF(I13="","",IF(D13="&gt;=",MIN(100,I13/E13*100),IF(I13=0,IF(E13=0,100,0),MIN(100,E13/I13*100))))</x:f>
      </x:c>
      <x:c r="K13" s="28" t="str">
        <x:f>IF(J13="","",IF(J13&gt;=90,"Green",IF(J13&gt;=70,"Yellow","Red")))</x:f>
      </x:c>
      <x:c r="L13" s="28" t="str">
        <x:v>Install evidence</x:v>
      </x:c>
      <x:c r="M13" s="28" t="str"/>
    </x:row>
    <x:row r="14">
      <x:c r="A14" s="28" t="str">
        <x:v>Infra/OpenNebula Engineer</x:v>
      </x:c>
      <x:c r="B14" s="28" t="str">
        <x:v>INF-02</x:v>
      </x:c>
      <x:c r="C14" s="28" t="str">
        <x:v>KVM host availability</x:v>
      </x:c>
      <x:c r="D14" s="28" t="str">
        <x:v>&gt;=</x:v>
      </x:c>
      <x:c r="E14" s="28" t="n">
        <x:v>95</x:v>
      </x:c>
      <x:c r="F14" s="28" t="str">
        <x:v>%</x:v>
      </x:c>
      <x:c r="G14" s="28" t="str">
        <x:v>Weekly</x:v>
      </x:c>
      <x:c r="H14" s="43" t="n">
        <x:v>0.2</x:v>
      </x:c>
      <x:c r="I14" s="28" t="str"/>
      <x:c r="J14" s="48" t="str">
        <x:f>IF(I14="","",IF(D14="&gt;=",MIN(100,I14/E14*100),IF(I14=0,IF(E14=0,100,0),MIN(100,E14/I14*100))))</x:f>
      </x:c>
      <x:c r="K14" s="28" t="str">
        <x:f>IF(J14="","",IF(J14&gt;=90,"Green",IF(J14&gt;=70,"Yellow","Red")))</x:f>
      </x:c>
      <x:c r="L14" s="28" t="str">
        <x:v>Monitoring</x:v>
      </x:c>
      <x:c r="M14" s="28" t="str"/>
    </x:row>
    <x:row r="15">
      <x:c r="A15" s="28" t="str">
        <x:v>Infra/OpenNebula Engineer</x:v>
      </x:c>
      <x:c r="B15" s="28" t="str">
        <x:v>INF-03</x:v>
      </x:c>
      <x:c r="C15" s="28" t="str">
        <x:v>VM manual lifecycle success</x:v>
      </x:c>
      <x:c r="D15" s="28" t="str">
        <x:v>&gt;=</x:v>
      </x:c>
      <x:c r="E15" s="28" t="n">
        <x:v>95</x:v>
      </x:c>
      <x:c r="F15" s="28" t="str">
        <x:v>%</x:v>
      </x:c>
      <x:c r="G15" s="28" t="str">
        <x:v>Sprint</x:v>
      </x:c>
      <x:c r="H15" s="43" t="n">
        <x:v>0.2</x:v>
      </x:c>
      <x:c r="I15" s="28" t="str"/>
      <x:c r="J15" s="48" t="str">
        <x:f>IF(I15="","",IF(D15="&gt;=",MIN(100,I15/E15*100),IF(I15=0,IF(E15=0,100,0),MIN(100,E15/I15*100))))</x:f>
      </x:c>
      <x:c r="K15" s="28" t="str">
        <x:f>IF(J15="","",IF(J15&gt;=90,"Green",IF(J15&gt;=70,"Yellow","Red")))</x:f>
      </x:c>
      <x:c r="L15" s="28" t="str">
        <x:v>Test result</x:v>
      </x:c>
      <x:c r="M15" s="28" t="str"/>
    </x:row>
    <x:row r="16">
      <x:c r="A16" s="28" t="str">
        <x:v>Infra/OpenNebula Engineer</x:v>
      </x:c>
      <x:c r="B16" s="28" t="str">
        <x:v>INF-04</x:v>
      </x:c>
      <x:c r="C16" s="28" t="str">
        <x:v>Network/datastore test success</x:v>
      </x:c>
      <x:c r="D16" s="28" t="str">
        <x:v>&gt;=</x:v>
      </x:c>
      <x:c r="E16" s="28" t="n">
        <x:v>95</x:v>
      </x:c>
      <x:c r="F16" s="28" t="str">
        <x:v>%</x:v>
      </x:c>
      <x:c r="G16" s="28" t="str">
        <x:v>Sprint</x:v>
      </x:c>
      <x:c r="H16" s="43" t="n">
        <x:v>0.2</x:v>
      </x:c>
      <x:c r="I16" s="28" t="str"/>
      <x:c r="J16" s="48" t="str">
        <x:f>IF(I16="","",IF(D16="&gt;=",MIN(100,I16/E16*100),IF(I16=0,IF(E16=0,100,0),MIN(100,E16/I16*100))))</x:f>
      </x:c>
      <x:c r="K16" s="28" t="str">
        <x:f>IF(J16="","",IF(J16&gt;=90,"Green",IF(J16&gt;=70,"Yellow","Red")))</x:f>
      </x:c>
      <x:c r="L16" s="28" t="str">
        <x:v>Infra test</x:v>
      </x:c>
      <x:c r="M16" s="28" t="str"/>
    </x:row>
    <x:row r="17">
      <x:c r="A17" s="28" t="str">
        <x:v>Infra/OpenNebula Engineer</x:v>
      </x:c>
      <x:c r="B17" s="28" t="str">
        <x:v>INF-05</x:v>
      </x:c>
      <x:c r="C17" s="28" t="str">
        <x:v>Infra issue resolution time</x:v>
      </x:c>
      <x:c r="D17" s="28" t="str">
        <x:v>&lt;=</x:v>
      </x:c>
      <x:c r="E17" s="28" t="n">
        <x:v>2</x:v>
      </x:c>
      <x:c r="F17" s="28" t="str">
        <x:v>working days</x:v>
      </x:c>
      <x:c r="G17" s="28" t="str">
        <x:v>Weekly</x:v>
      </x:c>
      <x:c r="H17" s="43" t="n">
        <x:v>0.2</x:v>
      </x:c>
      <x:c r="I17" s="28" t="str"/>
      <x:c r="J17" s="48" t="str">
        <x:f>IF(I17="","",IF(D17="&gt;=",MIN(100,I17/E17*100),IF(I17=0,IF(E17=0,100,0),MIN(100,E17/I17*100))))</x:f>
      </x:c>
      <x:c r="K17" s="28" t="str">
        <x:f>IF(J17="","",IF(J17&gt;=90,"Green",IF(J17&gt;=70,"Yellow","Red")))</x:f>
      </x:c>
      <x:c r="L17" s="28" t="str">
        <x:v>Issue tracker</x:v>
      </x:c>
      <x:c r="M17" s="28" t="str"/>
    </x:row>
    <x:row r="18">
      <x:c r="A18" s="28" t="str">
        <x:v>Backend Engineer</x:v>
      </x:c>
      <x:c r="B18" s="28" t="str">
        <x:v>BE-01</x:v>
      </x:c>
      <x:c r="C18" s="28" t="str">
        <x:v>API delivery per sprint</x:v>
      </x:c>
      <x:c r="D18" s="28" t="str">
        <x:v>&gt;=</x:v>
      </x:c>
      <x:c r="E18" s="28" t="n">
        <x:v>85</x:v>
      </x:c>
      <x:c r="F18" s="28" t="str">
        <x:v>%</x:v>
      </x:c>
      <x:c r="G18" s="28" t="str">
        <x:v>Sprint</x:v>
      </x:c>
      <x:c r="H18" s="43" t="n">
        <x:v>0.25</x:v>
      </x:c>
      <x:c r="I18" s="28" t="str"/>
      <x:c r="J18" s="48" t="str">
        <x:f>IF(I18="","",IF(D18="&gt;=",MIN(100,I18/E18*100),IF(I18=0,IF(E18=0,100,0),MIN(100,E18/I18*100))))</x:f>
      </x:c>
      <x:c r="K18" s="28" t="str">
        <x:f>IF(J18="","",IF(J18&gt;=90,"Green",IF(J18&gt;=70,"Yellow","Red")))</x:f>
      </x:c>
      <x:c r="L18" s="28" t="str">
        <x:v>Sprint task</x:v>
      </x:c>
      <x:c r="M18" s="28" t="str"/>
    </x:row>
    <x:row r="19">
      <x:c r="A19" s="28" t="str">
        <x:v>Backend Engineer</x:v>
      </x:c>
      <x:c r="B19" s="28" t="str">
        <x:v>BE-02</x:v>
      </x:c>
      <x:c r="C19" s="28" t="str">
        <x:v>Unit test coverage critical modules</x:v>
      </x:c>
      <x:c r="D19" s="28" t="str">
        <x:v>&gt;=</x:v>
      </x:c>
      <x:c r="E19" s="28" t="n">
        <x:v>70</x:v>
      </x:c>
      <x:c r="F19" s="28" t="str">
        <x:v>%</x:v>
      </x:c>
      <x:c r="G19" s="28" t="str">
        <x:v>Sprint</x:v>
      </x:c>
      <x:c r="H19" s="43" t="n">
        <x:v>0.15</x:v>
      </x:c>
      <x:c r="I19" s="28" t="str"/>
      <x:c r="J19" s="48" t="str">
        <x:f>IF(I19="","",IF(D19="&gt;=",MIN(100,I19/E19*100),IF(I19=0,IF(E19=0,100,0),MIN(100,E19/I19*100))))</x:f>
      </x:c>
      <x:c r="K19" s="28" t="str">
        <x:f>IF(J19="","",IF(J19&gt;=90,"Green",IF(J19&gt;=70,"Yellow","Red")))</x:f>
      </x:c>
      <x:c r="L19" s="28" t="str">
        <x:v>Test report</x:v>
      </x:c>
      <x:c r="M19" s="28" t="str"/>
    </x:row>
    <x:row r="20">
      <x:c r="A20" s="28" t="str">
        <x:v>Backend Engineer</x:v>
      </x:c>
      <x:c r="B20" s="28" t="str">
        <x:v>BE-03</x:v>
      </x:c>
      <x:c r="C20" s="28" t="str">
        <x:v>API integration test pass</x:v>
      </x:c>
      <x:c r="D20" s="28" t="str">
        <x:v>&gt;=</x:v>
      </x:c>
      <x:c r="E20" s="28" t="n">
        <x:v>85</x:v>
      </x:c>
      <x:c r="F20" s="28" t="str">
        <x:v>%</x:v>
      </x:c>
      <x:c r="G20" s="28" t="str">
        <x:v>Sprint</x:v>
      </x:c>
      <x:c r="H20" s="43" t="n">
        <x:v>0.2</x:v>
      </x:c>
      <x:c r="I20" s="28" t="str"/>
      <x:c r="J20" s="48" t="str">
        <x:f>IF(I20="","",IF(D20="&gt;=",MIN(100,I20/E20*100),IF(I20=0,IF(E20=0,100,0),MIN(100,E20/I20*100))))</x:f>
      </x:c>
      <x:c r="K20" s="28" t="str">
        <x:f>IF(J20="","",IF(J20&gt;=90,"Green",IF(J20&gt;=70,"Yellow","Red")))</x:f>
      </x:c>
      <x:c r="L20" s="28" t="str">
        <x:v>QA report</x:v>
      </x:c>
      <x:c r="M20" s="28" t="str"/>
    </x:row>
    <x:row r="21">
      <x:c r="A21" s="28" t="str">
        <x:v>Backend Engineer</x:v>
      </x:c>
      <x:c r="B21" s="28" t="str">
        <x:v>BE-04</x:v>
      </x:c>
      <x:c r="C21" s="28" t="str">
        <x:v>API response success rate lab</x:v>
      </x:c>
      <x:c r="D21" s="28" t="str">
        <x:v>&gt;=</x:v>
      </x:c>
      <x:c r="E21" s="28" t="n">
        <x:v>95</x:v>
      </x:c>
      <x:c r="F21" s="28" t="str">
        <x:v>%</x:v>
      </x:c>
      <x:c r="G21" s="28" t="str">
        <x:v>Weekly</x:v>
      </x:c>
      <x:c r="H21" s="43" t="n">
        <x:v>0.2</x:v>
      </x:c>
      <x:c r="I21" s="28" t="str"/>
      <x:c r="J21" s="48" t="str">
        <x:f>IF(I21="","",IF(D21="&gt;=",MIN(100,I21/E21*100),IF(I21=0,IF(E21=0,100,0),MIN(100,E21/I21*100))))</x:f>
      </x:c>
      <x:c r="K21" s="28" t="str">
        <x:f>IF(J21="","",IF(J21&gt;=90,"Green",IF(J21&gt;=70,"Yellow","Red")))</x:f>
      </x:c>
      <x:c r="L21" s="28" t="str">
        <x:v>Logs/monitoring</x:v>
      </x:c>
      <x:c r="M21" s="28" t="str"/>
    </x:row>
    <x:row r="22">
      <x:c r="A22" s="28" t="str">
        <x:v>Backend Engineer</x:v>
      </x:c>
      <x:c r="B22" s="28" t="str">
        <x:v>BE-05</x:v>
      </x:c>
      <x:c r="C22" s="28" t="str">
        <x:v>Swagger/API docs completeness</x:v>
      </x:c>
      <x:c r="D22" s="28" t="str">
        <x:v>&gt;=</x:v>
      </x:c>
      <x:c r="E22" s="28" t="n">
        <x:v>90</x:v>
      </x:c>
      <x:c r="F22" s="28" t="str">
        <x:v>%</x:v>
      </x:c>
      <x:c r="G22" s="28" t="str">
        <x:v>Sprint</x:v>
      </x:c>
      <x:c r="H22" s="43" t="n">
        <x:v>0.2</x:v>
      </x:c>
      <x:c r="I22" s="28" t="str"/>
      <x:c r="J22" s="48" t="str">
        <x:f>IF(I22="","",IF(D22="&gt;=",MIN(100,I22/E22*100),IF(I22=0,IF(E22=0,100,0),MIN(100,E22/I22*100))))</x:f>
      </x:c>
      <x:c r="K22" s="28" t="str">
        <x:f>IF(J22="","",IF(J22&gt;=90,"Green",IF(J22&gt;=70,"Yellow","Red")))</x:f>
      </x:c>
      <x:c r="L22" s="28" t="str">
        <x:v>Swagger</x:v>
      </x:c>
      <x:c r="M22" s="28" t="str"/>
    </x:row>
    <x:row r="23">
      <x:c r="A23" s="28" t="str">
        <x:v>Frontend Engineer</x:v>
      </x:c>
      <x:c r="B23" s="28" t="str">
        <x:v>FE-01</x:v>
      </x:c>
      <x:c r="C23" s="28" t="str">
        <x:v>UI screen delivery</x:v>
      </x:c>
      <x:c r="D23" s="28" t="str">
        <x:v>&gt;=</x:v>
      </x:c>
      <x:c r="E23" s="28" t="n">
        <x:v>85</x:v>
      </x:c>
      <x:c r="F23" s="28" t="str">
        <x:v>%</x:v>
      </x:c>
      <x:c r="G23" s="28" t="str">
        <x:v>Sprint</x:v>
      </x:c>
      <x:c r="H23" s="43" t="n">
        <x:v>0.25</x:v>
      </x:c>
      <x:c r="I23" s="28" t="str"/>
      <x:c r="J23" s="48" t="str">
        <x:f>IF(I23="","",IF(D23="&gt;=",MIN(100,I23/E23*100),IF(I23=0,IF(E23=0,100,0),MIN(100,E23/I23*100))))</x:f>
      </x:c>
      <x:c r="K23" s="28" t="str">
        <x:f>IF(J23="","",IF(J23&gt;=90,"Green",IF(J23&gt;=70,"Yellow","Red")))</x:f>
      </x:c>
      <x:c r="L23" s="28" t="str">
        <x:v>Sprint task</x:v>
      </x:c>
      <x:c r="M23" s="28" t="str"/>
    </x:row>
    <x:row r="24">
      <x:c r="A24" s="28" t="str">
        <x:v>Frontend Engineer</x:v>
      </x:c>
      <x:c r="B24" s="28" t="str">
        <x:v>FE-02</x:v>
      </x:c>
      <x:c r="C24" s="28" t="str">
        <x:v>API integration completion</x:v>
      </x:c>
      <x:c r="D24" s="28" t="str">
        <x:v>&gt;=</x:v>
      </x:c>
      <x:c r="E24" s="28" t="n">
        <x:v>85</x:v>
      </x:c>
      <x:c r="F24" s="28" t="str">
        <x:v>%</x:v>
      </x:c>
      <x:c r="G24" s="28" t="str">
        <x:v>Sprint</x:v>
      </x:c>
      <x:c r="H24" s="43" t="n">
        <x:v>0.2</x:v>
      </x:c>
      <x:c r="I24" s="28" t="str"/>
      <x:c r="J24" s="48" t="str">
        <x:f>IF(I24="","",IF(D24="&gt;=",MIN(100,I24/E24*100),IF(I24=0,IF(E24=0,100,0),MIN(100,E24/I24*100))))</x:f>
      </x:c>
      <x:c r="K24" s="28" t="str">
        <x:f>IF(J24="","",IF(J24&gt;=90,"Green",IF(J24&gt;=70,"Yellow","Red")))</x:f>
      </x:c>
      <x:c r="L24" s="28" t="str">
        <x:v>Demo result</x:v>
      </x:c>
      <x:c r="M24" s="28" t="str"/>
    </x:row>
    <x:row r="25">
      <x:c r="A25" s="28" t="str">
        <x:v>Frontend Engineer</x:v>
      </x:c>
      <x:c r="B25" s="28" t="str">
        <x:v>FE-03</x:v>
      </x:c>
      <x:c r="C25" s="28" t="str">
        <x:v>Demo flow success</x:v>
      </x:c>
      <x:c r="D25" s="28" t="str">
        <x:v>&gt;=</x:v>
      </x:c>
      <x:c r="E25" s="28" t="n">
        <x:v>90</x:v>
      </x:c>
      <x:c r="F25" s="28" t="str">
        <x:v>%</x:v>
      </x:c>
      <x:c r="G25" s="28" t="str">
        <x:v>Sprint</x:v>
      </x:c>
      <x:c r="H25" s="43" t="n">
        <x:v>0.2</x:v>
      </x:c>
      <x:c r="I25" s="28" t="str"/>
      <x:c r="J25" s="48" t="str">
        <x:f>IF(I25="","",IF(D25="&gt;=",MIN(100,I25/E25*100),IF(I25=0,IF(E25=0,100,0),MIN(100,E25/I25*100))))</x:f>
      </x:c>
      <x:c r="K25" s="28" t="str">
        <x:f>IF(J25="","",IF(J25&gt;=90,"Green",IF(J25&gt;=70,"Yellow","Red")))</x:f>
      </x:c>
      <x:c r="L25" s="28" t="str">
        <x:v>QA E2E</x:v>
      </x:c>
      <x:c r="M25" s="28" t="str"/>
    </x:row>
    <x:row r="26">
      <x:c r="A26" s="28" t="str">
        <x:v>Frontend Engineer</x:v>
      </x:c>
      <x:c r="B26" s="28" t="str">
        <x:v>FE-04</x:v>
      </x:c>
      <x:c r="C26" s="28" t="str">
        <x:v>Major UI bug resolution</x:v>
      </x:c>
      <x:c r="D26" s="28" t="str">
        <x:v>&lt;=</x:v>
      </x:c>
      <x:c r="E26" s="28" t="n">
        <x:v>2</x:v>
      </x:c>
      <x:c r="F26" s="28" t="str">
        <x:v>working days</x:v>
      </x:c>
      <x:c r="G26" s="28" t="str">
        <x:v>Weekly</x:v>
      </x:c>
      <x:c r="H26" s="43" t="n">
        <x:v>0.15</x:v>
      </x:c>
      <x:c r="I26" s="28" t="str"/>
      <x:c r="J26" s="48" t="str">
        <x:f>IF(I26="","",IF(D26="&gt;=",MIN(100,I26/E26*100),IF(I26=0,IF(E26=0,100,0),MIN(100,E26/I26*100))))</x:f>
      </x:c>
      <x:c r="K26" s="28" t="str">
        <x:f>IF(J26="","",IF(J26&gt;=90,"Green",IF(J26&gt;=70,"Yellow","Red")))</x:f>
      </x:c>
      <x:c r="L26" s="28" t="str">
        <x:v>Bug tracker</x:v>
      </x:c>
      <x:c r="M26" s="28" t="str"/>
    </x:row>
    <x:row r="27">
      <x:c r="A27" s="28" t="str">
        <x:v>Frontend Engineer</x:v>
      </x:c>
      <x:c r="B27" s="28" t="str">
        <x:v>FE-05</x:v>
      </x:c>
      <x:c r="C27" s="28" t="str">
        <x:v>Component reuse</x:v>
      </x:c>
      <x:c r="D27" s="28" t="str">
        <x:v>&gt;=</x:v>
      </x:c>
      <x:c r="E27" s="28" t="n">
        <x:v>70</x:v>
      </x:c>
      <x:c r="F27" s="28" t="str">
        <x:v>%</x:v>
      </x:c>
      <x:c r="G27" s="28" t="str">
        <x:v>Sprint</x:v>
      </x:c>
      <x:c r="H27" s="43" t="n">
        <x:v>0.2</x:v>
      </x:c>
      <x:c r="I27" s="28" t="str"/>
      <x:c r="J27" s="48" t="str">
        <x:f>IF(I27="","",IF(D27="&gt;=",MIN(100,I27/E27*100),IF(I27=0,IF(E27=0,100,0),MIN(100,E27/I27*100))))</x:f>
      </x:c>
      <x:c r="K27" s="28" t="str">
        <x:f>IF(J27="","",IF(J27&gt;=90,"Green",IF(J27&gt;=70,"Yellow","Red")))</x:f>
      </x:c>
      <x:c r="L27" s="28" t="str">
        <x:v>Code review</x:v>
      </x:c>
      <x:c r="M27" s="28" t="str"/>
    </x:row>
    <x:row r="28">
      <x:c r="A28" s="28" t="str">
        <x:v>QA/Tester</x:v>
      </x:c>
      <x:c r="B28" s="28" t="str">
        <x:v>QA-01</x:v>
      </x:c>
      <x:c r="C28" s="28" t="str">
        <x:v>Test case readiness</x:v>
      </x:c>
      <x:c r="D28" s="28" t="str">
        <x:v>&gt;=</x:v>
      </x:c>
      <x:c r="E28" s="28" t="n">
        <x:v>100</x:v>
      </x:c>
      <x:c r="F28" s="28" t="str">
        <x:v>%</x:v>
      </x:c>
      <x:c r="G28" s="28" t="str">
        <x:v>Sprint</x:v>
      </x:c>
      <x:c r="H28" s="43" t="n">
        <x:v>0.2</x:v>
      </x:c>
      <x:c r="I28" s="28" t="str"/>
      <x:c r="J28" s="48" t="str">
        <x:f>IF(I28="","",IF(D28="&gt;=",MIN(100,I28/E28*100),IF(I28=0,IF(E28=0,100,0),MIN(100,E28/I28*100))))</x:f>
      </x:c>
      <x:c r="K28" s="28" t="str">
        <x:f>IF(J28="","",IF(J28&gt;=90,"Green",IF(J28&gt;=70,"Yellow","Red")))</x:f>
      </x:c>
      <x:c r="L28" s="28" t="str">
        <x:v>Test cases</x:v>
      </x:c>
      <x:c r="M28" s="28" t="str"/>
    </x:row>
    <x:row r="29">
      <x:c r="A29" s="28" t="str">
        <x:v>QA/Tester</x:v>
      </x:c>
      <x:c r="B29" s="28" t="str">
        <x:v>QA-02</x:v>
      </x:c>
      <x:c r="C29" s="28" t="str">
        <x:v>Test execution rate</x:v>
      </x:c>
      <x:c r="D29" s="28" t="str">
        <x:v>&gt;=</x:v>
      </x:c>
      <x:c r="E29" s="28" t="n">
        <x:v>90</x:v>
      </x:c>
      <x:c r="F29" s="28" t="str">
        <x:v>%</x:v>
      </x:c>
      <x:c r="G29" s="28" t="str">
        <x:v>Sprint</x:v>
      </x:c>
      <x:c r="H29" s="43" t="n">
        <x:v>0.25</x:v>
      </x:c>
      <x:c r="I29" s="28" t="str"/>
      <x:c r="J29" s="48" t="str">
        <x:f>IF(I29="","",IF(D29="&gt;=",MIN(100,I29/E29*100),IF(I29=0,IF(E29=0,100,0),MIN(100,E29/I29*100))))</x:f>
      </x:c>
      <x:c r="K29" s="28" t="str">
        <x:f>IF(J29="","",IF(J29&gt;=90,"Green",IF(J29&gt;=70,"Yellow","Red")))</x:f>
      </x:c>
      <x:c r="L29" s="28" t="str">
        <x:v>Test report</x:v>
      </x:c>
      <x:c r="M29" s="28" t="str"/>
    </x:row>
    <x:row r="30">
      <x:c r="A30" s="28" t="str">
        <x:v>QA/Tester</x:v>
      </x:c>
      <x:c r="B30" s="28" t="str">
        <x:v>QA-03</x:v>
      </x:c>
      <x:c r="C30" s="28" t="str">
        <x:v>UAT pass rate</x:v>
      </x:c>
      <x:c r="D30" s="28" t="str">
        <x:v>&gt;=</x:v>
      </x:c>
      <x:c r="E30" s="28" t="n">
        <x:v>85</x:v>
      </x:c>
      <x:c r="F30" s="28" t="str">
        <x:v>%</x:v>
      </x:c>
      <x:c r="G30" s="28" t="str">
        <x:v>Sprint</x:v>
      </x:c>
      <x:c r="H30" s="43" t="n">
        <x:v>0.25</x:v>
      </x:c>
      <x:c r="I30" s="28" t="str"/>
      <x:c r="J30" s="48" t="str">
        <x:f>IF(I30="","",IF(D30="&gt;=",MIN(100,I30/E30*100),IF(I30=0,IF(E30=0,100,0),MIN(100,E30/I30*100))))</x:f>
      </x:c>
      <x:c r="K30" s="28" t="str">
        <x:f>IF(J30="","",IF(J30&gt;=90,"Green",IF(J30&gt;=70,"Yellow","Red")))</x:f>
      </x:c>
      <x:c r="L30" s="28" t="str">
        <x:v>UAT report</x:v>
      </x:c>
      <x:c r="M30" s="28" t="str"/>
    </x:row>
    <x:row r="31">
      <x:c r="A31" s="28" t="str">
        <x:v>QA/Tester</x:v>
      </x:c>
      <x:c r="B31" s="28" t="str">
        <x:v>QA-04</x:v>
      </x:c>
      <x:c r="C31" s="28" t="str">
        <x:v>Critical defect leakage</x:v>
      </x:c>
      <x:c r="D31" s="28" t="str">
        <x:v>&lt;=</x:v>
      </x:c>
      <x:c r="E31" s="28" t="n">
        <x:v>0</x:v>
      </x:c>
      <x:c r="F31" s="28" t="str">
        <x:v>count</x:v>
      </x:c>
      <x:c r="G31" s="28" t="str">
        <x:v>Sprint</x:v>
      </x:c>
      <x:c r="H31" s="43" t="n">
        <x:v>0.15</x:v>
      </x:c>
      <x:c r="I31" s="28" t="str"/>
      <x:c r="J31" s="48" t="str">
        <x:f>IF(I31="","",IF(D31="&gt;=",MIN(100,I31/E31*100),IF(I31=0,IF(E31=0,100,0),MIN(100,E31/I31*100))))</x:f>
      </x:c>
      <x:c r="K31" s="28" t="str">
        <x:f>IF(J31="","",IF(J31&gt;=90,"Green",IF(J31&gt;=70,"Yellow","Red")))</x:f>
      </x:c>
      <x:c r="L31" s="28" t="str">
        <x:v>Defect report</x:v>
      </x:c>
      <x:c r="M31" s="28" t="str"/>
    </x:row>
    <x:row r="32">
      <x:c r="A32" s="28" t="str">
        <x:v>QA/Tester</x:v>
      </x:c>
      <x:c r="B32" s="28" t="str">
        <x:v>QA-05</x:v>
      </x:c>
      <x:c r="C32" s="28" t="str">
        <x:v>Regression pass rate</x:v>
      </x:c>
      <x:c r="D32" s="28" t="str">
        <x:v>&gt;=</x:v>
      </x:c>
      <x:c r="E32" s="28" t="n">
        <x:v>85</x:v>
      </x:c>
      <x:c r="F32" s="28" t="str">
        <x:v>%</x:v>
      </x:c>
      <x:c r="G32" s="28" t="str">
        <x:v>Sprint</x:v>
      </x:c>
      <x:c r="H32" s="43" t="n">
        <x:v>0.15</x:v>
      </x:c>
      <x:c r="I32" s="28" t="str"/>
      <x:c r="J32" s="48" t="str">
        <x:f>IF(I32="","",IF(D32="&gt;=",MIN(100,I32/E32*100),IF(I32=0,IF(E32=0,100,0),MIN(100,E32/I32*100))))</x:f>
      </x:c>
      <x:c r="K32" s="28" t="str">
        <x:f>IF(J32="","",IF(J32&gt;=90,"Green",IF(J32&gt;=70,"Yellow","Red")))</x:f>
      </x:c>
      <x:c r="L32" s="28" t="str">
        <x:v>Regression result</x:v>
      </x:c>
      <x:c r="M32" s="28" t="str"/>
    </x:row>
    <x:row r="33">
      <x:c r="A33" s="28" t="str">
        <x:v>Technical Writer</x:v>
      </x:c>
      <x:c r="B33" s="28" t="str">
        <x:v>TW-01</x:v>
      </x:c>
      <x:c r="C33" s="28" t="str">
        <x:v>Documentation completion</x:v>
      </x:c>
      <x:c r="D33" s="28" t="str">
        <x:v>&gt;=</x:v>
      </x:c>
      <x:c r="E33" s="28" t="n">
        <x:v>90</x:v>
      </x:c>
      <x:c r="F33" s="28" t="str">
        <x:v>%</x:v>
      </x:c>
      <x:c r="G33" s="28" t="str">
        <x:v>Sprint</x:v>
      </x:c>
      <x:c r="H33" s="43" t="n">
        <x:v>0.25</x:v>
      </x:c>
      <x:c r="I33" s="28" t="str"/>
      <x:c r="J33" s="48" t="str">
        <x:f>IF(I33="","",IF(D33="&gt;=",MIN(100,I33/E33*100),IF(I33=0,IF(E33=0,100,0),MIN(100,E33/I33*100))))</x:f>
      </x:c>
      <x:c r="K33" s="28" t="str">
        <x:f>IF(J33="","",IF(J33&gt;=90,"Green",IF(J33&gt;=70,"Yellow","Red")))</x:f>
      </x:c>
      <x:c r="L33" s="28" t="str">
        <x:v>Docs folder</x:v>
      </x:c>
      <x:c r="M33" s="28" t="str"/>
    </x:row>
    <x:row r="34">
      <x:c r="A34" s="28" t="str">
        <x:v>Technical Writer</x:v>
      </x:c>
      <x:c r="B34" s="28" t="str">
        <x:v>TW-02</x:v>
      </x:c>
      <x:c r="C34" s="28" t="str">
        <x:v>SOP coverage for POC features</x:v>
      </x:c>
      <x:c r="D34" s="28" t="str">
        <x:v>&gt;=</x:v>
      </x:c>
      <x:c r="E34" s="28" t="n">
        <x:v>100</x:v>
      </x:c>
      <x:c r="F34" s="28" t="str">
        <x:v>%</x:v>
      </x:c>
      <x:c r="G34" s="28" t="str">
        <x:v>Sprint</x:v>
      </x:c>
      <x:c r="H34" s="43" t="n">
        <x:v>0.25</x:v>
      </x:c>
      <x:c r="I34" s="28" t="str"/>
      <x:c r="J34" s="48" t="str">
        <x:f>IF(I34="","",IF(D34="&gt;=",MIN(100,I34/E34*100),IF(I34=0,IF(E34=0,100,0),MIN(100,E34/I34*100))))</x:f>
      </x:c>
      <x:c r="K34" s="28" t="str">
        <x:f>IF(J34="","",IF(J34&gt;=90,"Green",IF(J34&gt;=70,"Yellow","Red")))</x:f>
      </x:c>
      <x:c r="L34" s="28" t="str">
        <x:v>SOP package</x:v>
      </x:c>
      <x:c r="M34" s="28" t="str"/>
    </x:row>
    <x:row r="35">
      <x:c r="A35" s="28" t="str">
        <x:v>Technical Writer</x:v>
      </x:c>
      <x:c r="B35" s="28" t="str">
        <x:v>TW-03</x:v>
      </x:c>
      <x:c r="C35" s="28" t="str">
        <x:v>Documentation accuracy after review</x:v>
      </x:c>
      <x:c r="D35" s="28" t="str">
        <x:v>&gt;=</x:v>
      </x:c>
      <x:c r="E35" s="28" t="n">
        <x:v>90</x:v>
      </x:c>
      <x:c r="F35" s="28" t="str">
        <x:v>%</x:v>
      </x:c>
      <x:c r="G35" s="28" t="str">
        <x:v>Sprint</x:v>
      </x:c>
      <x:c r="H35" s="43" t="n">
        <x:v>0.2</x:v>
      </x:c>
      <x:c r="I35" s="28" t="str"/>
      <x:c r="J35" s="48" t="str">
        <x:f>IF(I35="","",IF(D35="&gt;=",MIN(100,I35/E35*100),IF(I35=0,IF(E35=0,100,0),MIN(100,E35/I35*100))))</x:f>
      </x:c>
      <x:c r="K35" s="28" t="str">
        <x:f>IF(J35="","",IF(J35&gt;=90,"Green",IF(J35&gt;=70,"Yellow","Red")))</x:f>
      </x:c>
      <x:c r="L35" s="28" t="str">
        <x:v>Review log</x:v>
      </x:c>
      <x:c r="M35" s="28" t="str"/>
    </x:row>
    <x:row r="36">
      <x:c r="A36" s="28" t="str">
        <x:v>Technical Writer</x:v>
      </x:c>
      <x:c r="B36" s="28" t="str">
        <x:v>TW-04</x:v>
      </x:c>
      <x:c r="C36" s="28" t="str">
        <x:v>UAT/BAST readiness</x:v>
      </x:c>
      <x:c r="D36" s="28" t="str">
        <x:v>&gt;=</x:v>
      </x:c>
      <x:c r="E36" s="28" t="n">
        <x:v>100</x:v>
      </x:c>
      <x:c r="F36" s="28" t="str">
        <x:v>%</x:v>
      </x:c>
      <x:c r="G36" s="28" t="str">
        <x:v>Sprint 11</x:v>
      </x:c>
      <x:c r="H36" s="43" t="n">
        <x:v>0.2</x:v>
      </x:c>
      <x:c r="I36" s="28" t="str"/>
      <x:c r="J36" s="48" t="str">
        <x:f>IF(I36="","",IF(D36="&gt;=",MIN(100,I36/E36*100),IF(I36=0,IF(E36=0,100,0),MIN(100,E36/I36*100))))</x:f>
      </x:c>
      <x:c r="K36" s="28" t="str">
        <x:f>IF(J36="","",IF(J36&gt;=90,"Green",IF(J36&gt;=70,"Yellow","Red")))</x:f>
      </x:c>
      <x:c r="L36" s="28" t="str">
        <x:v>UAT/BAST docs</x:v>
      </x:c>
      <x:c r="M36" s="28" t="str"/>
    </x:row>
    <x:row r="37">
      <x:c r="A37" s="28" t="str">
        <x:v>Technical Writer</x:v>
      </x:c>
      <x:c r="B37" s="28" t="str">
        <x:v>TW-05</x:v>
      </x:c>
      <x:c r="C37" s="28" t="str">
        <x:v>Review cycle closure</x:v>
      </x:c>
      <x:c r="D37" s="28" t="str">
        <x:v>&lt;=</x:v>
      </x:c>
      <x:c r="E37" s="28" t="n">
        <x:v>3</x:v>
      </x:c>
      <x:c r="F37" s="28" t="str">
        <x:v>working days</x:v>
      </x:c>
      <x:c r="G37" s="28" t="str">
        <x:v>Weekly</x:v>
      </x:c>
      <x:c r="H37" s="43" t="n">
        <x:v>0.1</x:v>
      </x:c>
      <x:c r="I37" s="28" t="str"/>
      <x:c r="J37" s="48" t="str">
        <x:f>IF(I37="","",IF(D37="&gt;=",MIN(100,I37/E37*100),IF(I37=0,IF(E37=0,100,0),MIN(100,E37/I37*100))))</x:f>
      </x:c>
      <x:c r="K37" s="28" t="str">
        <x:f>IF(J37="","",IF(J37&gt;=90,"Green",IF(J37&gt;=70,"Yellow","Red")))</x:f>
      </x:c>
      <x:c r="L37" s="28" t="str">
        <x:v>Review tracker</x:v>
      </x:c>
      <x:c r="M37" s="28" t="str"/>
    </x:row>
    <x:row r="38">
      <x:c r="A38" s="28" t="str">
        <x:v>Sales/Marketing/Presales</x:v>
      </x:c>
      <x:c r="B38" s="28" t="str">
        <x:v>SALES-01</x:v>
      </x:c>
      <x:c r="C38" s="28" t="str">
        <x:v>Sales collateral completion</x:v>
      </x:c>
      <x:c r="D38" s="28" t="str">
        <x:v>&gt;=</x:v>
      </x:c>
      <x:c r="E38" s="28" t="n">
        <x:v>90</x:v>
      </x:c>
      <x:c r="F38" s="28" t="str">
        <x:v>%</x:v>
      </x:c>
      <x:c r="G38" s="28" t="str">
        <x:v>Sprint</x:v>
      </x:c>
      <x:c r="H38" s="43" t="n">
        <x:v>0.2</x:v>
      </x:c>
      <x:c r="I38" s="28" t="str"/>
      <x:c r="J38" s="48" t="str">
        <x:f>IF(I38="","",IF(D38="&gt;=",MIN(100,I38/E38*100),IF(I38=0,IF(E38=0,100,0),MIN(100,E38/I38*100))))</x:f>
      </x:c>
      <x:c r="K38" s="28" t="str">
        <x:f>IF(J38="","",IF(J38&gt;=90,"Green",IF(J38&gt;=70,"Yellow","Red")))</x:f>
      </x:c>
      <x:c r="L38" s="28" t="str">
        <x:v>Sales kit</x:v>
      </x:c>
      <x:c r="M38" s="28" t="str"/>
    </x:row>
    <x:row r="39">
      <x:c r="A39" s="28" t="str">
        <x:v>Sales/Marketing/Presales</x:v>
      </x:c>
      <x:c r="B39" s="28" t="str">
        <x:v>SALES-02</x:v>
      </x:c>
      <x:c r="C39" s="28" t="str">
        <x:v>Target account list</x:v>
      </x:c>
      <x:c r="D39" s="28" t="str">
        <x:v>&gt;=</x:v>
      </x:c>
      <x:c r="E39" s="28" t="n">
        <x:v>20</x:v>
      </x:c>
      <x:c r="F39" s="28" t="str">
        <x:v>accounts</x:v>
      </x:c>
      <x:c r="G39" s="28" t="str">
        <x:v>Sprint 11</x:v>
      </x:c>
      <x:c r="H39" s="43" t="n">
        <x:v>0.2</x:v>
      </x:c>
      <x:c r="I39" s="28" t="str"/>
      <x:c r="J39" s="48" t="str">
        <x:f>IF(I39="","",IF(D39="&gt;=",MIN(100,I39/E39*100),IF(I39=0,IF(E39=0,100,0),MIN(100,E39/I39*100))))</x:f>
      </x:c>
      <x:c r="K39" s="28" t="str">
        <x:f>IF(J39="","",IF(J39&gt;=90,"Green",IF(J39&gt;=70,"Yellow","Red")))</x:f>
      </x:c>
      <x:c r="L39" s="28" t="str">
        <x:v>Lead list</x:v>
      </x:c>
      <x:c r="M39" s="28" t="str"/>
    </x:row>
    <x:row r="40">
      <x:c r="A40" s="28" t="str">
        <x:v>Sales/Marketing/Presales</x:v>
      </x:c>
      <x:c r="B40" s="28" t="str">
        <x:v>SALES-03</x:v>
      </x:c>
      <x:c r="C40" s="28" t="str">
        <x:v>Qualified pilot account</x:v>
      </x:c>
      <x:c r="D40" s="28" t="str">
        <x:v>&gt;=</x:v>
      </x:c>
      <x:c r="E40" s="28" t="n">
        <x:v>5</x:v>
      </x:c>
      <x:c r="F40" s="28" t="str">
        <x:v>accounts</x:v>
      </x:c>
      <x:c r="G40" s="28" t="str">
        <x:v>Sprint 11</x:v>
      </x:c>
      <x:c r="H40" s="43" t="n">
        <x:v>0.2</x:v>
      </x:c>
      <x:c r="I40" s="28" t="str"/>
      <x:c r="J40" s="48" t="str">
        <x:f>IF(I40="","",IF(D40="&gt;=",MIN(100,I40/E40*100),IF(I40=0,IF(E40=0,100,0),MIN(100,E40/I40*100))))</x:f>
      </x:c>
      <x:c r="K40" s="28" t="str">
        <x:f>IF(J40="","",IF(J40&gt;=90,"Green",IF(J40&gt;=70,"Yellow","Red")))</x:f>
      </x:c>
      <x:c r="L40" s="28" t="str">
        <x:v>Lead qualification</x:v>
      </x:c>
      <x:c r="M40" s="28" t="str"/>
    </x:row>
    <x:row r="41">
      <x:c r="A41" s="28" t="str">
        <x:v>Sales/Marketing/Presales</x:v>
      </x:c>
      <x:c r="B41" s="28" t="str">
        <x:v>SALES-04</x:v>
      </x:c>
      <x:c r="C41" s="28" t="str">
        <x:v>Discovery meeting scheduled</x:v>
      </x:c>
      <x:c r="D41" s="28" t="str">
        <x:v>&gt;=</x:v>
      </x:c>
      <x:c r="E41" s="28" t="n">
        <x:v>3</x:v>
      </x:c>
      <x:c r="F41" s="28" t="str">
        <x:v>meetings</x:v>
      </x:c>
      <x:c r="G41" s="28" t="str">
        <x:v>Sprint 11</x:v>
      </x:c>
      <x:c r="H41" s="43" t="n">
        <x:v>0.2</x:v>
      </x:c>
      <x:c r="I41" s="28" t="str"/>
      <x:c r="J41" s="48" t="str">
        <x:f>IF(I41="","",IF(D41="&gt;=",MIN(100,I41/E41*100),IF(I41=0,IF(E41=0,100,0),MIN(100,E41/I41*100))))</x:f>
      </x:c>
      <x:c r="K41" s="28" t="str">
        <x:f>IF(J41="","",IF(J41&gt;=90,"Green",IF(J41&gt;=70,"Yellow","Red")))</x:f>
      </x:c>
      <x:c r="L41" s="28" t="str">
        <x:v>Calendar/CRM</x:v>
      </x:c>
      <x:c r="M41" s="28" t="str"/>
    </x:row>
    <x:row r="42">
      <x:c r="A42" s="28" t="str">
        <x:v>Sales/Marketing/Presales</x:v>
      </x:c>
      <x:c r="B42" s="28" t="str">
        <x:v>SALES-05</x:v>
      </x:c>
      <x:c r="C42" s="28" t="str">
        <x:v>Proposal/SOW/SLA readiness</x:v>
      </x:c>
      <x:c r="D42" s="28" t="str">
        <x:v>&gt;=</x:v>
      </x:c>
      <x:c r="E42" s="28" t="n">
        <x:v>100</x:v>
      </x:c>
      <x:c r="F42" s="28" t="str">
        <x:v>%</x:v>
      </x:c>
      <x:c r="G42" s="28" t="str">
        <x:v>Sprint 10</x:v>
      </x:c>
      <x:c r="H42" s="43" t="n">
        <x:v>0.2</x:v>
      </x:c>
      <x:c r="I42" s="28" t="str"/>
      <x:c r="J42" s="48" t="str">
        <x:f>IF(I42="","",IF(D42="&gt;=",MIN(100,I42/E42*100),IF(I42=0,IF(E42=0,100,0),MIN(100,E42/I42*100))))</x:f>
      </x:c>
      <x:c r="K42" s="28" t="str">
        <x:f>IF(J42="","",IF(J42&gt;=90,"Green",IF(J42&gt;=70,"Yellow","Red")))</x:f>
      </x:c>
      <x:c r="L42" s="28" t="str">
        <x:v>Commercial pack</x:v>
      </x:c>
      <x:c r="M42" s="28" t="str"/>
    </x:row>
  </x:sheetData>
  <x:mergeCells>
    <x:mergeCell ref="A1:M1"/>
  </x:mergeCells>
  <x:conditionalFormatting sqref="K3:K42">
    <x:cfRule type="expression" dxfId="8" priority="1">
      <x:formula>K3="Green"</x:formula>
    </x:cfRule>
    <x:cfRule type="expression" dxfId="9" priority="2">
      <x:formula>K3="Yellow"</x:formula>
    </x:cfRule>
    <x:cfRule type="expression" dxfId="10" priority="3">
      <x:formula>K3="Red"</x:formula>
    </x:cfRule>
    <x:cfRule type="expression" dxfId="11" priority="4">
      <x:formula>K3="Black"</x:formula>
    </x:cfRule>
  </x:conditionalFormatting>
  <x:dataValidations count="2">
    <x:dataValidation type="list" sqref="A3:A42">
      <x:formula1>Lookups!$D$2:$D$9</x:formula1>
    </x:dataValidation>
    <x:dataValidation type="list" sqref="K3:K42">
      <x:formula1>Lookups!$C$2:$C$5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54cb5b50b146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2" hidden="0" customWidth="1"/>
    <x:col min="4" max="4" width="15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0" hidden="0" customWidth="1"/>
    <x:col min="12" max="12" width="34" hidden="0" customWidth="1"/>
    <x:col min="13" max="13" width="34" hidden="0" customWidth="1"/>
  </x:cols>
  <x:sheetData>
    <x:row r="1" ht="28" customHeight="1">
      <x:c r="A1" s="15" t="str">
        <x:v>Personal Scorecard — Monthly/Sprint Performance</x:v>
      </x:c>
    </x:row>
    <x:row r="2" ht="28" customHeight="1">
      <x:c r="A2" s="6" t="str">
        <x:v>Person</x:v>
      </x:c>
      <x:c r="B2" s="6" t="str">
        <x:v>Role</x:v>
      </x:c>
      <x:c r="C2" s="6" t="str">
        <x:v>Period</x:v>
      </x:c>
      <x:c r="D2" s="6" t="str">
        <x:v>Task Completion</x:v>
      </x:c>
      <x:c r="E2" s="6" t="str">
        <x:v>Quality/Bug Score</x:v>
      </x:c>
      <x:c r="F2" s="6" t="str">
        <x:v>Documentation</x:v>
      </x:c>
      <x:c r="G2" s="6" t="str">
        <x:v>Collaboration</x:v>
      </x:c>
      <x:c r="H2" s="6" t="str">
        <x:v>Blocker Handling</x:v>
      </x:c>
      <x:c r="I2" s="6" t="str">
        <x:v>Weighted Score</x:v>
      </x:c>
      <x:c r="J2" s="6" t="str">
        <x:v>Rating</x:v>
      </x:c>
      <x:c r="K2" s="6" t="str">
        <x:v>RAG</x:v>
      </x:c>
      <x:c r="L2" s="6" t="str">
        <x:v>CTO Notes</x:v>
      </x:c>
      <x:c r="M2" s="6" t="str">
        <x:v>Action Plan</x:v>
      </x:c>
    </x:row>
    <x:row r="3">
      <x:c r="A3" s="28" t="str">
        <x:v>TBD</x:v>
      </x:c>
      <x:c r="B3" s="28" t="str">
        <x:v>Product Owner</x:v>
      </x:c>
      <x:c r="C3" s="28" t="str">
        <x:v>Month 1</x:v>
      </x:c>
      <x:c r="D3" s="48" t="str"/>
      <x:c r="E3" s="48" t="str"/>
      <x:c r="F3" s="48" t="str"/>
      <x:c r="G3" s="48" t="str"/>
      <x:c r="H3" s="48" t="str"/>
      <x:c r="I3" s="48" t="str">
        <x:f>IF(COUNTA(D3:H3)=0,"",SUM(D3:H3)/5)</x:f>
      </x:c>
      <x:c r="J3" s="28" t="str">
        <x:f>IF(I3="","",IF(I3&gt;=90,"Excellent",IF(I3&gt;=80,"Good",IF(I3&gt;=70,"Acceptable",IF(I3&gt;=60,"Needs Attention","Critical Intervention")))))</x:f>
      </x:c>
      <x:c r="K3" s="28" t="str">
        <x:f>IF(I3="","",IF(I3&gt;=80,"Green",IF(I3&gt;=60,"Yellow","Red")))</x:f>
      </x:c>
      <x:c r="L3" s="28" t="str"/>
      <x:c r="M3" s="28" t="str"/>
    </x:row>
    <x:row r="4">
      <x:c r="A4" s="28" t="str">
        <x:v>TBD</x:v>
      </x:c>
      <x:c r="B4" s="28" t="str">
        <x:v>Solution Architect</x:v>
      </x:c>
      <x:c r="C4" s="28" t="str">
        <x:v>Month 1</x:v>
      </x:c>
      <x:c r="D4" s="48" t="str"/>
      <x:c r="E4" s="48" t="str"/>
      <x:c r="F4" s="48" t="str"/>
      <x:c r="G4" s="48" t="str"/>
      <x:c r="H4" s="48" t="str"/>
      <x:c r="I4" s="48" t="str">
        <x:f>IF(COUNTA(D4:H4)=0,"",SUM(D4:H4)/5)</x:f>
      </x:c>
      <x:c r="J4" s="28" t="str">
        <x:f>IF(I4="","",IF(I4&gt;=90,"Excellent",IF(I4&gt;=80,"Good",IF(I4&gt;=70,"Acceptable",IF(I4&gt;=60,"Needs Attention","Critical Intervention")))))</x:f>
      </x:c>
      <x:c r="K4" s="28" t="str">
        <x:f>IF(I4="","",IF(I4&gt;=80,"Green",IF(I4&gt;=60,"Yellow","Red")))</x:f>
      </x:c>
      <x:c r="L4" s="28" t="str"/>
      <x:c r="M4" s="28" t="str"/>
    </x:row>
    <x:row r="5">
      <x:c r="A5" s="28" t="str">
        <x:v>TBD</x:v>
      </x:c>
      <x:c r="B5" s="28" t="str">
        <x:v>Infra/OpenNebula Engineer</x:v>
      </x:c>
      <x:c r="C5" s="28" t="str">
        <x:v>Month 1</x:v>
      </x:c>
      <x:c r="D5" s="48" t="str"/>
      <x:c r="E5" s="48" t="str"/>
      <x:c r="F5" s="48" t="str"/>
      <x:c r="G5" s="48" t="str"/>
      <x:c r="H5" s="48" t="str"/>
      <x:c r="I5" s="48" t="str">
        <x:f>IF(COUNTA(D5:H5)=0,"",SUM(D5:H5)/5)</x:f>
      </x:c>
      <x:c r="J5" s="28" t="str">
        <x:f>IF(I5="","",IF(I5&gt;=90,"Excellent",IF(I5&gt;=80,"Good",IF(I5&gt;=70,"Acceptable",IF(I5&gt;=60,"Needs Attention","Critical Intervention")))))</x:f>
      </x:c>
      <x:c r="K5" s="28" t="str">
        <x:f>IF(I5="","",IF(I5&gt;=80,"Green",IF(I5&gt;=60,"Yellow","Red")))</x:f>
      </x:c>
      <x:c r="L5" s="28" t="str"/>
      <x:c r="M5" s="28" t="str"/>
    </x:row>
    <x:row r="6">
      <x:c r="A6" s="28" t="str">
        <x:v>TBD</x:v>
      </x:c>
      <x:c r="B6" s="28" t="str">
        <x:v>Backend Engineer</x:v>
      </x:c>
      <x:c r="C6" s="28" t="str">
        <x:v>Month 1</x:v>
      </x:c>
      <x:c r="D6" s="48" t="str"/>
      <x:c r="E6" s="48" t="str"/>
      <x:c r="F6" s="48" t="str"/>
      <x:c r="G6" s="48" t="str"/>
      <x:c r="H6" s="48" t="str"/>
      <x:c r="I6" s="48" t="str">
        <x:f>IF(COUNTA(D6:H6)=0,"",SUM(D6:H6)/5)</x:f>
      </x:c>
      <x:c r="J6" s="28" t="str">
        <x:f>IF(I6="","",IF(I6&gt;=90,"Excellent",IF(I6&gt;=80,"Good",IF(I6&gt;=70,"Acceptable",IF(I6&gt;=60,"Needs Attention","Critical Intervention")))))</x:f>
      </x:c>
      <x:c r="K6" s="28" t="str">
        <x:f>IF(I6="","",IF(I6&gt;=80,"Green",IF(I6&gt;=60,"Yellow","Red")))</x:f>
      </x:c>
      <x:c r="L6" s="28" t="str"/>
      <x:c r="M6" s="28" t="str"/>
    </x:row>
    <x:row r="7">
      <x:c r="A7" s="28" t="str">
        <x:v>TBD</x:v>
      </x:c>
      <x:c r="B7" s="28" t="str">
        <x:v>Frontend Engineer</x:v>
      </x:c>
      <x:c r="C7" s="28" t="str">
        <x:v>Month 1</x:v>
      </x:c>
      <x:c r="D7" s="48" t="str"/>
      <x:c r="E7" s="48" t="str"/>
      <x:c r="F7" s="48" t="str"/>
      <x:c r="G7" s="48" t="str"/>
      <x:c r="H7" s="48" t="str"/>
      <x:c r="I7" s="48" t="str">
        <x:f>IF(COUNTA(D7:H7)=0,"",SUM(D7:H7)/5)</x:f>
      </x:c>
      <x:c r="J7" s="28" t="str">
        <x:f>IF(I7="","",IF(I7&gt;=90,"Excellent",IF(I7&gt;=80,"Good",IF(I7&gt;=70,"Acceptable",IF(I7&gt;=60,"Needs Attention","Critical Intervention")))))</x:f>
      </x:c>
      <x:c r="K7" s="28" t="str">
        <x:f>IF(I7="","",IF(I7&gt;=80,"Green",IF(I7&gt;=60,"Yellow","Red")))</x:f>
      </x:c>
      <x:c r="L7" s="28" t="str"/>
      <x:c r="M7" s="28" t="str"/>
    </x:row>
    <x:row r="8">
      <x:c r="A8" s="28" t="str">
        <x:v>TBD</x:v>
      </x:c>
      <x:c r="B8" s="28" t="str">
        <x:v>QA/Tester</x:v>
      </x:c>
      <x:c r="C8" s="28" t="str">
        <x:v>Month 1</x:v>
      </x:c>
      <x:c r="D8" s="48" t="str"/>
      <x:c r="E8" s="48" t="str"/>
      <x:c r="F8" s="48" t="str"/>
      <x:c r="G8" s="48" t="str"/>
      <x:c r="H8" s="48" t="str"/>
      <x:c r="I8" s="48" t="str">
        <x:f>IF(COUNTA(D8:H8)=0,"",SUM(D8:H8)/5)</x:f>
      </x:c>
      <x:c r="J8" s="28" t="str">
        <x:f>IF(I8="","",IF(I8&gt;=90,"Excellent",IF(I8&gt;=80,"Good",IF(I8&gt;=70,"Acceptable",IF(I8&gt;=60,"Needs Attention","Critical Intervention")))))</x:f>
      </x:c>
      <x:c r="K8" s="28" t="str">
        <x:f>IF(I8="","",IF(I8&gt;=80,"Green",IF(I8&gt;=60,"Yellow","Red")))</x:f>
      </x:c>
      <x:c r="L8" s="28" t="str"/>
      <x:c r="M8" s="28" t="str"/>
    </x:row>
    <x:row r="9">
      <x:c r="A9" s="28" t="str">
        <x:v>TBD</x:v>
      </x:c>
      <x:c r="B9" s="28" t="str">
        <x:v>Technical Writer</x:v>
      </x:c>
      <x:c r="C9" s="28" t="str">
        <x:v>Month 1</x:v>
      </x:c>
      <x:c r="D9" s="48" t="str"/>
      <x:c r="E9" s="48" t="str"/>
      <x:c r="F9" s="48" t="str"/>
      <x:c r="G9" s="48" t="str"/>
      <x:c r="H9" s="48" t="str"/>
      <x:c r="I9" s="48" t="str">
        <x:f>IF(COUNTA(D9:H9)=0,"",SUM(D9:H9)/5)</x:f>
      </x:c>
      <x:c r="J9" s="28" t="str">
        <x:f>IF(I9="","",IF(I9&gt;=90,"Excellent",IF(I9&gt;=80,"Good",IF(I9&gt;=70,"Acceptable",IF(I9&gt;=60,"Needs Attention","Critical Intervention")))))</x:f>
      </x:c>
      <x:c r="K9" s="28" t="str">
        <x:f>IF(I9="","",IF(I9&gt;=80,"Green",IF(I9&gt;=60,"Yellow","Red")))</x:f>
      </x:c>
      <x:c r="L9" s="28" t="str"/>
      <x:c r="M9" s="28" t="str"/>
    </x:row>
    <x:row r="10">
      <x:c r="A10" s="28" t="str">
        <x:v>TBD</x:v>
      </x:c>
      <x:c r="B10" s="28" t="str">
        <x:v>Sales/Marketing/Presales</x:v>
      </x:c>
      <x:c r="C10" s="28" t="str">
        <x:v>Month 1</x:v>
      </x:c>
      <x:c r="D10" s="48" t="str"/>
      <x:c r="E10" s="48" t="str"/>
      <x:c r="F10" s="48" t="str"/>
      <x:c r="G10" s="48" t="str"/>
      <x:c r="H10" s="48" t="str"/>
      <x:c r="I10" s="48" t="str">
        <x:f>IF(COUNTA(D10:H10)=0,"",SUM(D10:H10)/5)</x:f>
      </x:c>
      <x:c r="J10" s="28" t="str">
        <x:f>IF(I10="","",IF(I10&gt;=90,"Excellent",IF(I10&gt;=80,"Good",IF(I10&gt;=70,"Acceptable",IF(I10&gt;=60,"Needs Attention","Critical Intervention")))))</x:f>
      </x:c>
      <x:c r="K10" s="28" t="str">
        <x:f>IF(I10="","",IF(I10&gt;=80,"Green",IF(I10&gt;=60,"Yellow","Red")))</x:f>
      </x:c>
      <x:c r="L10" s="28" t="str"/>
      <x:c r="M10" s="28" t="str"/>
    </x:row>
    <x:row r="11">
      <x:c r="A11" s="28" t="str">
        <x:v>TBD</x:v>
      </x:c>
      <x:c r="B11" s="28" t="str">
        <x:v>Product Owner</x:v>
      </x:c>
      <x:c r="C11" s="28" t="str">
        <x:v>Month 2</x:v>
      </x:c>
      <x:c r="D11" s="48" t="str"/>
      <x:c r="E11" s="48" t="str"/>
      <x:c r="F11" s="48" t="str"/>
      <x:c r="G11" s="48" t="str"/>
      <x:c r="H11" s="48" t="str"/>
      <x:c r="I11" s="48" t="str">
        <x:f>IF(COUNTA(D11:H11)=0,"",SUM(D11:H11)/5)</x:f>
      </x:c>
      <x:c r="J11" s="28" t="str">
        <x:f>IF(I11="","",IF(I11&gt;=90,"Excellent",IF(I11&gt;=80,"Good",IF(I11&gt;=70,"Acceptable",IF(I11&gt;=60,"Needs Attention","Critical Intervention")))))</x:f>
      </x:c>
      <x:c r="K11" s="28" t="str">
        <x:f>IF(I11="","",IF(I11&gt;=80,"Green",IF(I11&gt;=60,"Yellow","Red")))</x:f>
      </x:c>
      <x:c r="L11" s="28" t="str"/>
      <x:c r="M11" s="28" t="str"/>
    </x:row>
    <x:row r="12">
      <x:c r="A12" s="28" t="str">
        <x:v>TBD</x:v>
      </x:c>
      <x:c r="B12" s="28" t="str">
        <x:v>Solution Architect</x:v>
      </x:c>
      <x:c r="C12" s="28" t="str">
        <x:v>Month 2</x:v>
      </x:c>
      <x:c r="D12" s="48" t="str"/>
      <x:c r="E12" s="48" t="str"/>
      <x:c r="F12" s="48" t="str"/>
      <x:c r="G12" s="48" t="str"/>
      <x:c r="H12" s="48" t="str"/>
      <x:c r="I12" s="48" t="str">
        <x:f>IF(COUNTA(D12:H12)=0,"",SUM(D12:H12)/5)</x:f>
      </x:c>
      <x:c r="J12" s="28" t="str">
        <x:f>IF(I12="","",IF(I12&gt;=90,"Excellent",IF(I12&gt;=80,"Good",IF(I12&gt;=70,"Acceptable",IF(I12&gt;=60,"Needs Attention","Critical Intervention")))))</x:f>
      </x:c>
      <x:c r="K12" s="28" t="str">
        <x:f>IF(I12="","",IF(I12&gt;=80,"Green",IF(I12&gt;=60,"Yellow","Red")))</x:f>
      </x:c>
      <x:c r="L12" s="28" t="str"/>
      <x:c r="M12" s="28" t="str"/>
    </x:row>
    <x:row r="13">
      <x:c r="A13" s="28" t="str">
        <x:v>TBD</x:v>
      </x:c>
      <x:c r="B13" s="28" t="str">
        <x:v>Infra/OpenNebula Engineer</x:v>
      </x:c>
      <x:c r="C13" s="28" t="str">
        <x:v>Month 2</x:v>
      </x:c>
      <x:c r="D13" s="48" t="str"/>
      <x:c r="E13" s="48" t="str"/>
      <x:c r="F13" s="48" t="str"/>
      <x:c r="G13" s="48" t="str"/>
      <x:c r="H13" s="48" t="str"/>
      <x:c r="I13" s="48" t="str">
        <x:f>IF(COUNTA(D13:H13)=0,"",SUM(D13:H13)/5)</x:f>
      </x:c>
      <x:c r="J13" s="28" t="str">
        <x:f>IF(I13="","",IF(I13&gt;=90,"Excellent",IF(I13&gt;=80,"Good",IF(I13&gt;=70,"Acceptable",IF(I13&gt;=60,"Needs Attention","Critical Intervention")))))</x:f>
      </x:c>
      <x:c r="K13" s="28" t="str">
        <x:f>IF(I13="","",IF(I13&gt;=80,"Green",IF(I13&gt;=60,"Yellow","Red")))</x:f>
      </x:c>
      <x:c r="L13" s="28" t="str"/>
      <x:c r="M13" s="28" t="str"/>
    </x:row>
    <x:row r="14">
      <x:c r="A14" s="28" t="str">
        <x:v>TBD</x:v>
      </x:c>
      <x:c r="B14" s="28" t="str">
        <x:v>Backend Engineer</x:v>
      </x:c>
      <x:c r="C14" s="28" t="str">
        <x:v>Month 2</x:v>
      </x:c>
      <x:c r="D14" s="48" t="str"/>
      <x:c r="E14" s="48" t="str"/>
      <x:c r="F14" s="48" t="str"/>
      <x:c r="G14" s="48" t="str"/>
      <x:c r="H14" s="48" t="str"/>
      <x:c r="I14" s="48" t="str">
        <x:f>IF(COUNTA(D14:H14)=0,"",SUM(D14:H14)/5)</x:f>
      </x:c>
      <x:c r="J14" s="28" t="str">
        <x:f>IF(I14="","",IF(I14&gt;=90,"Excellent",IF(I14&gt;=80,"Good",IF(I14&gt;=70,"Acceptable",IF(I14&gt;=60,"Needs Attention","Critical Intervention")))))</x:f>
      </x:c>
      <x:c r="K14" s="28" t="str">
        <x:f>IF(I14="","",IF(I14&gt;=80,"Green",IF(I14&gt;=60,"Yellow","Red")))</x:f>
      </x:c>
      <x:c r="L14" s="28" t="str"/>
      <x:c r="M14" s="28" t="str"/>
    </x:row>
    <x:row r="15">
      <x:c r="A15" s="28" t="str">
        <x:v>TBD</x:v>
      </x:c>
      <x:c r="B15" s="28" t="str">
        <x:v>Frontend Engineer</x:v>
      </x:c>
      <x:c r="C15" s="28" t="str">
        <x:v>Month 2</x:v>
      </x:c>
      <x:c r="D15" s="48" t="str"/>
      <x:c r="E15" s="48" t="str"/>
      <x:c r="F15" s="48" t="str"/>
      <x:c r="G15" s="48" t="str"/>
      <x:c r="H15" s="48" t="str"/>
      <x:c r="I15" s="48" t="str">
        <x:f>IF(COUNTA(D15:H15)=0,"",SUM(D15:H15)/5)</x:f>
      </x:c>
      <x:c r="J15" s="28" t="str">
        <x:f>IF(I15="","",IF(I15&gt;=90,"Excellent",IF(I15&gt;=80,"Good",IF(I15&gt;=70,"Acceptable",IF(I15&gt;=60,"Needs Attention","Critical Intervention")))))</x:f>
      </x:c>
      <x:c r="K15" s="28" t="str">
        <x:f>IF(I15="","",IF(I15&gt;=80,"Green",IF(I15&gt;=60,"Yellow","Red")))</x:f>
      </x:c>
      <x:c r="L15" s="28" t="str"/>
      <x:c r="M15" s="28" t="str"/>
    </x:row>
    <x:row r="16">
      <x:c r="A16" s="28" t="str">
        <x:v>TBD</x:v>
      </x:c>
      <x:c r="B16" s="28" t="str">
        <x:v>QA/Tester</x:v>
      </x:c>
      <x:c r="C16" s="28" t="str">
        <x:v>Month 2</x:v>
      </x:c>
      <x:c r="D16" s="48" t="str"/>
      <x:c r="E16" s="48" t="str"/>
      <x:c r="F16" s="48" t="str"/>
      <x:c r="G16" s="48" t="str"/>
      <x:c r="H16" s="48" t="str"/>
      <x:c r="I16" s="48" t="str">
        <x:f>IF(COUNTA(D16:H16)=0,"",SUM(D16:H16)/5)</x:f>
      </x:c>
      <x:c r="J16" s="28" t="str">
        <x:f>IF(I16="","",IF(I16&gt;=90,"Excellent",IF(I16&gt;=80,"Good",IF(I16&gt;=70,"Acceptable",IF(I16&gt;=60,"Needs Attention","Critical Intervention")))))</x:f>
      </x:c>
      <x:c r="K16" s="28" t="str">
        <x:f>IF(I16="","",IF(I16&gt;=80,"Green",IF(I16&gt;=60,"Yellow","Red")))</x:f>
      </x:c>
      <x:c r="L16" s="28" t="str"/>
      <x:c r="M16" s="28" t="str"/>
    </x:row>
    <x:row r="17">
      <x:c r="A17" s="28" t="str">
        <x:v>TBD</x:v>
      </x:c>
      <x:c r="B17" s="28" t="str">
        <x:v>Technical Writer</x:v>
      </x:c>
      <x:c r="C17" s="28" t="str">
        <x:v>Month 2</x:v>
      </x:c>
      <x:c r="D17" s="48" t="str"/>
      <x:c r="E17" s="48" t="str"/>
      <x:c r="F17" s="48" t="str"/>
      <x:c r="G17" s="48" t="str"/>
      <x:c r="H17" s="48" t="str"/>
      <x:c r="I17" s="48" t="str">
        <x:f>IF(COUNTA(D17:H17)=0,"",SUM(D17:H17)/5)</x:f>
      </x:c>
      <x:c r="J17" s="28" t="str">
        <x:f>IF(I17="","",IF(I17&gt;=90,"Excellent",IF(I17&gt;=80,"Good",IF(I17&gt;=70,"Acceptable",IF(I17&gt;=60,"Needs Attention","Critical Intervention")))))</x:f>
      </x:c>
      <x:c r="K17" s="28" t="str">
        <x:f>IF(I17="","",IF(I17&gt;=80,"Green",IF(I17&gt;=60,"Yellow","Red")))</x:f>
      </x:c>
      <x:c r="L17" s="28" t="str"/>
      <x:c r="M17" s="28" t="str"/>
    </x:row>
    <x:row r="18">
      <x:c r="A18" s="28" t="str">
        <x:v>TBD</x:v>
      </x:c>
      <x:c r="B18" s="28" t="str">
        <x:v>Sales/Marketing/Presales</x:v>
      </x:c>
      <x:c r="C18" s="28" t="str">
        <x:v>Month 2</x:v>
      </x:c>
      <x:c r="D18" s="48" t="str"/>
      <x:c r="E18" s="48" t="str"/>
      <x:c r="F18" s="48" t="str"/>
      <x:c r="G18" s="48" t="str"/>
      <x:c r="H18" s="48" t="str"/>
      <x:c r="I18" s="48" t="str">
        <x:f>IF(COUNTA(D18:H18)=0,"",SUM(D18:H18)/5)</x:f>
      </x:c>
      <x:c r="J18" s="28" t="str">
        <x:f>IF(I18="","",IF(I18&gt;=90,"Excellent",IF(I18&gt;=80,"Good",IF(I18&gt;=70,"Acceptable",IF(I18&gt;=60,"Needs Attention","Critical Intervention")))))</x:f>
      </x:c>
      <x:c r="K18" s="28" t="str">
        <x:f>IF(I18="","",IF(I18&gt;=80,"Green",IF(I18&gt;=60,"Yellow","Red")))</x:f>
      </x:c>
      <x:c r="L18" s="28" t="str"/>
      <x:c r="M18" s="28" t="str"/>
    </x:row>
    <x:row r="19">
      <x:c r="A19" s="28" t="str">
        <x:v>TBD</x:v>
      </x:c>
      <x:c r="B19" s="28" t="str">
        <x:v>Product Owner</x:v>
      </x:c>
      <x:c r="C19" s="28" t="str">
        <x:v>Month 3</x:v>
      </x:c>
      <x:c r="D19" s="48" t="str"/>
      <x:c r="E19" s="48" t="str"/>
      <x:c r="F19" s="48" t="str"/>
      <x:c r="G19" s="48" t="str"/>
      <x:c r="H19" s="48" t="str"/>
      <x:c r="I19" s="48" t="str">
        <x:f>IF(COUNTA(D19:H19)=0,"",SUM(D19:H19)/5)</x:f>
      </x:c>
      <x:c r="J19" s="28" t="str">
        <x:f>IF(I19="","",IF(I19&gt;=90,"Excellent",IF(I19&gt;=80,"Good",IF(I19&gt;=70,"Acceptable",IF(I19&gt;=60,"Needs Attention","Critical Intervention")))))</x:f>
      </x:c>
      <x:c r="K19" s="28" t="str">
        <x:f>IF(I19="","",IF(I19&gt;=80,"Green",IF(I19&gt;=60,"Yellow","Red")))</x:f>
      </x:c>
      <x:c r="L19" s="28" t="str"/>
      <x:c r="M19" s="28" t="str"/>
    </x:row>
    <x:row r="20">
      <x:c r="A20" s="28" t="str">
        <x:v>TBD</x:v>
      </x:c>
      <x:c r="B20" s="28" t="str">
        <x:v>Solution Architect</x:v>
      </x:c>
      <x:c r="C20" s="28" t="str">
        <x:v>Month 3</x:v>
      </x:c>
      <x:c r="D20" s="48" t="str"/>
      <x:c r="E20" s="48" t="str"/>
      <x:c r="F20" s="48" t="str"/>
      <x:c r="G20" s="48" t="str"/>
      <x:c r="H20" s="48" t="str"/>
      <x:c r="I20" s="48" t="str">
        <x:f>IF(COUNTA(D20:H20)=0,"",SUM(D20:H20)/5)</x:f>
      </x:c>
      <x:c r="J20" s="28" t="str">
        <x:f>IF(I20="","",IF(I20&gt;=90,"Excellent",IF(I20&gt;=80,"Good",IF(I20&gt;=70,"Acceptable",IF(I20&gt;=60,"Needs Attention","Critical Intervention")))))</x:f>
      </x:c>
      <x:c r="K20" s="28" t="str">
        <x:f>IF(I20="","",IF(I20&gt;=80,"Green",IF(I20&gt;=60,"Yellow","Red")))</x:f>
      </x:c>
      <x:c r="L20" s="28" t="str"/>
      <x:c r="M20" s="28" t="str"/>
    </x:row>
    <x:row r="21">
      <x:c r="A21" s="28" t="str">
        <x:v>TBD</x:v>
      </x:c>
      <x:c r="B21" s="28" t="str">
        <x:v>Infra/OpenNebula Engineer</x:v>
      </x:c>
      <x:c r="C21" s="28" t="str">
        <x:v>Month 3</x:v>
      </x:c>
      <x:c r="D21" s="48" t="str"/>
      <x:c r="E21" s="48" t="str"/>
      <x:c r="F21" s="48" t="str"/>
      <x:c r="G21" s="48" t="str"/>
      <x:c r="H21" s="48" t="str"/>
      <x:c r="I21" s="48" t="str">
        <x:f>IF(COUNTA(D21:H21)=0,"",SUM(D21:H21)/5)</x:f>
      </x:c>
      <x:c r="J21" s="28" t="str">
        <x:f>IF(I21="","",IF(I21&gt;=90,"Excellent",IF(I21&gt;=80,"Good",IF(I21&gt;=70,"Acceptable",IF(I21&gt;=60,"Needs Attention","Critical Intervention")))))</x:f>
      </x:c>
      <x:c r="K21" s="28" t="str">
        <x:f>IF(I21="","",IF(I21&gt;=80,"Green",IF(I21&gt;=60,"Yellow","Red")))</x:f>
      </x:c>
      <x:c r="L21" s="28" t="str"/>
      <x:c r="M21" s="28" t="str"/>
    </x:row>
    <x:row r="22">
      <x:c r="A22" s="28" t="str">
        <x:v>TBD</x:v>
      </x:c>
      <x:c r="B22" s="28" t="str">
        <x:v>Backend Engineer</x:v>
      </x:c>
      <x:c r="C22" s="28" t="str">
        <x:v>Month 3</x:v>
      </x:c>
      <x:c r="D22" s="48" t="str"/>
      <x:c r="E22" s="48" t="str"/>
      <x:c r="F22" s="48" t="str"/>
      <x:c r="G22" s="48" t="str"/>
      <x:c r="H22" s="48" t="str"/>
      <x:c r="I22" s="48" t="str">
        <x:f>IF(COUNTA(D22:H22)=0,"",SUM(D22:H22)/5)</x:f>
      </x:c>
      <x:c r="J22" s="28" t="str">
        <x:f>IF(I22="","",IF(I22&gt;=90,"Excellent",IF(I22&gt;=80,"Good",IF(I22&gt;=70,"Acceptable",IF(I22&gt;=60,"Needs Attention","Critical Intervention")))))</x:f>
      </x:c>
      <x:c r="K22" s="28" t="str">
        <x:f>IF(I22="","",IF(I22&gt;=80,"Green",IF(I22&gt;=60,"Yellow","Red")))</x:f>
      </x:c>
      <x:c r="L22" s="28" t="str"/>
      <x:c r="M22" s="28" t="str"/>
    </x:row>
    <x:row r="23">
      <x:c r="A23" s="28" t="str">
        <x:v>TBD</x:v>
      </x:c>
      <x:c r="B23" s="28" t="str">
        <x:v>Frontend Engineer</x:v>
      </x:c>
      <x:c r="C23" s="28" t="str">
        <x:v>Month 3</x:v>
      </x:c>
      <x:c r="D23" s="48" t="str"/>
      <x:c r="E23" s="48" t="str"/>
      <x:c r="F23" s="48" t="str"/>
      <x:c r="G23" s="48" t="str"/>
      <x:c r="H23" s="48" t="str"/>
      <x:c r="I23" s="48" t="str">
        <x:f>IF(COUNTA(D23:H23)=0,"",SUM(D23:H23)/5)</x:f>
      </x:c>
      <x:c r="J23" s="28" t="str">
        <x:f>IF(I23="","",IF(I23&gt;=90,"Excellent",IF(I23&gt;=80,"Good",IF(I23&gt;=70,"Acceptable",IF(I23&gt;=60,"Needs Attention","Critical Intervention")))))</x:f>
      </x:c>
      <x:c r="K23" s="28" t="str">
        <x:f>IF(I23="","",IF(I23&gt;=80,"Green",IF(I23&gt;=60,"Yellow","Red")))</x:f>
      </x:c>
      <x:c r="L23" s="28" t="str"/>
      <x:c r="M23" s="28" t="str"/>
    </x:row>
    <x:row r="24">
      <x:c r="A24" s="28" t="str">
        <x:v>TBD</x:v>
      </x:c>
      <x:c r="B24" s="28" t="str">
        <x:v>QA/Tester</x:v>
      </x:c>
      <x:c r="C24" s="28" t="str">
        <x:v>Month 3</x:v>
      </x:c>
      <x:c r="D24" s="48" t="str"/>
      <x:c r="E24" s="48" t="str"/>
      <x:c r="F24" s="48" t="str"/>
      <x:c r="G24" s="48" t="str"/>
      <x:c r="H24" s="48" t="str"/>
      <x:c r="I24" s="48" t="str">
        <x:f>IF(COUNTA(D24:H24)=0,"",SUM(D24:H24)/5)</x:f>
      </x:c>
      <x:c r="J24" s="28" t="str">
        <x:f>IF(I24="","",IF(I24&gt;=90,"Excellent",IF(I24&gt;=80,"Good",IF(I24&gt;=70,"Acceptable",IF(I24&gt;=60,"Needs Attention","Critical Intervention")))))</x:f>
      </x:c>
      <x:c r="K24" s="28" t="str">
        <x:f>IF(I24="","",IF(I24&gt;=80,"Green",IF(I24&gt;=60,"Yellow","Red")))</x:f>
      </x:c>
      <x:c r="L24" s="28" t="str"/>
      <x:c r="M24" s="28" t="str"/>
    </x:row>
    <x:row r="25">
      <x:c r="A25" s="28" t="str">
        <x:v>TBD</x:v>
      </x:c>
      <x:c r="B25" s="28" t="str">
        <x:v>Technical Writer</x:v>
      </x:c>
      <x:c r="C25" s="28" t="str">
        <x:v>Month 3</x:v>
      </x:c>
      <x:c r="D25" s="48" t="str"/>
      <x:c r="E25" s="48" t="str"/>
      <x:c r="F25" s="48" t="str"/>
      <x:c r="G25" s="48" t="str"/>
      <x:c r="H25" s="48" t="str"/>
      <x:c r="I25" s="48" t="str">
        <x:f>IF(COUNTA(D25:H25)=0,"",SUM(D25:H25)/5)</x:f>
      </x:c>
      <x:c r="J25" s="28" t="str">
        <x:f>IF(I25="","",IF(I25&gt;=90,"Excellent",IF(I25&gt;=80,"Good",IF(I25&gt;=70,"Acceptable",IF(I25&gt;=60,"Needs Attention","Critical Intervention")))))</x:f>
      </x:c>
      <x:c r="K25" s="28" t="str">
        <x:f>IF(I25="","",IF(I25&gt;=80,"Green",IF(I25&gt;=60,"Yellow","Red")))</x:f>
      </x:c>
      <x:c r="L25" s="28" t="str"/>
      <x:c r="M25" s="28" t="str"/>
    </x:row>
    <x:row r="26">
      <x:c r="A26" s="28" t="str">
        <x:v>TBD</x:v>
      </x:c>
      <x:c r="B26" s="28" t="str">
        <x:v>Sales/Marketing/Presales</x:v>
      </x:c>
      <x:c r="C26" s="28" t="str">
        <x:v>Month 3</x:v>
      </x:c>
      <x:c r="D26" s="48" t="str"/>
      <x:c r="E26" s="48" t="str"/>
      <x:c r="F26" s="48" t="str"/>
      <x:c r="G26" s="48" t="str"/>
      <x:c r="H26" s="48" t="str"/>
      <x:c r="I26" s="48" t="str">
        <x:f>IF(COUNTA(D26:H26)=0,"",SUM(D26:H26)/5)</x:f>
      </x:c>
      <x:c r="J26" s="28" t="str">
        <x:f>IF(I26="","",IF(I26&gt;=90,"Excellent",IF(I26&gt;=80,"Good",IF(I26&gt;=70,"Acceptable",IF(I26&gt;=60,"Needs Attention","Critical Intervention")))))</x:f>
      </x:c>
      <x:c r="K26" s="28" t="str">
        <x:f>IF(I26="","",IF(I26&gt;=80,"Green",IF(I26&gt;=60,"Yellow","Red")))</x:f>
      </x:c>
      <x:c r="L26" s="28" t="str"/>
      <x:c r="M26" s="28" t="str"/>
    </x:row>
    <x:row r="27">
      <x:c r="A27" s="28" t="str">
        <x:v>TBD</x:v>
      </x:c>
      <x:c r="B27" s="28" t="str">
        <x:v>Product Owner</x:v>
      </x:c>
      <x:c r="C27" s="28" t="str">
        <x:v>Month 4</x:v>
      </x:c>
      <x:c r="D27" s="48" t="str"/>
      <x:c r="E27" s="48" t="str"/>
      <x:c r="F27" s="48" t="str"/>
      <x:c r="G27" s="48" t="str"/>
      <x:c r="H27" s="48" t="str"/>
      <x:c r="I27" s="48" t="str">
        <x:f>IF(COUNTA(D27:H27)=0,"",SUM(D27:H27)/5)</x:f>
      </x:c>
      <x:c r="J27" s="28" t="str">
        <x:f>IF(I27="","",IF(I27&gt;=90,"Excellent",IF(I27&gt;=80,"Good",IF(I27&gt;=70,"Acceptable",IF(I27&gt;=60,"Needs Attention","Critical Intervention")))))</x:f>
      </x:c>
      <x:c r="K27" s="28" t="str">
        <x:f>IF(I27="","",IF(I27&gt;=80,"Green",IF(I27&gt;=60,"Yellow","Red")))</x:f>
      </x:c>
      <x:c r="L27" s="28" t="str"/>
      <x:c r="M27" s="28" t="str"/>
    </x:row>
    <x:row r="28">
      <x:c r="A28" s="28" t="str">
        <x:v>TBD</x:v>
      </x:c>
      <x:c r="B28" s="28" t="str">
        <x:v>Solution Architect</x:v>
      </x:c>
      <x:c r="C28" s="28" t="str">
        <x:v>Month 4</x:v>
      </x:c>
      <x:c r="D28" s="48" t="str"/>
      <x:c r="E28" s="48" t="str"/>
      <x:c r="F28" s="48" t="str"/>
      <x:c r="G28" s="48" t="str"/>
      <x:c r="H28" s="48" t="str"/>
      <x:c r="I28" s="48" t="str">
        <x:f>IF(COUNTA(D28:H28)=0,"",SUM(D28:H28)/5)</x:f>
      </x:c>
      <x:c r="J28" s="28" t="str">
        <x:f>IF(I28="","",IF(I28&gt;=90,"Excellent",IF(I28&gt;=80,"Good",IF(I28&gt;=70,"Acceptable",IF(I28&gt;=60,"Needs Attention","Critical Intervention")))))</x:f>
      </x:c>
      <x:c r="K28" s="28" t="str">
        <x:f>IF(I28="","",IF(I28&gt;=80,"Green",IF(I28&gt;=60,"Yellow","Red")))</x:f>
      </x:c>
      <x:c r="L28" s="28" t="str"/>
      <x:c r="M28" s="28" t="str"/>
    </x:row>
    <x:row r="29">
      <x:c r="A29" s="28" t="str">
        <x:v>TBD</x:v>
      </x:c>
      <x:c r="B29" s="28" t="str">
        <x:v>Infra/OpenNebula Engineer</x:v>
      </x:c>
      <x:c r="C29" s="28" t="str">
        <x:v>Month 4</x:v>
      </x:c>
      <x:c r="D29" s="48" t="str"/>
      <x:c r="E29" s="48" t="str"/>
      <x:c r="F29" s="48" t="str"/>
      <x:c r="G29" s="48" t="str"/>
      <x:c r="H29" s="48" t="str"/>
      <x:c r="I29" s="48" t="str">
        <x:f>IF(COUNTA(D29:H29)=0,"",SUM(D29:H29)/5)</x:f>
      </x:c>
      <x:c r="J29" s="28" t="str">
        <x:f>IF(I29="","",IF(I29&gt;=90,"Excellent",IF(I29&gt;=80,"Good",IF(I29&gt;=70,"Acceptable",IF(I29&gt;=60,"Needs Attention","Critical Intervention")))))</x:f>
      </x:c>
      <x:c r="K29" s="28" t="str">
        <x:f>IF(I29="","",IF(I29&gt;=80,"Green",IF(I29&gt;=60,"Yellow","Red")))</x:f>
      </x:c>
      <x:c r="L29" s="28" t="str"/>
      <x:c r="M29" s="28" t="str"/>
    </x:row>
    <x:row r="30">
      <x:c r="A30" s="28" t="str">
        <x:v>TBD</x:v>
      </x:c>
      <x:c r="B30" s="28" t="str">
        <x:v>Backend Engineer</x:v>
      </x:c>
      <x:c r="C30" s="28" t="str">
        <x:v>Month 4</x:v>
      </x:c>
      <x:c r="D30" s="48" t="str"/>
      <x:c r="E30" s="48" t="str"/>
      <x:c r="F30" s="48" t="str"/>
      <x:c r="G30" s="48" t="str"/>
      <x:c r="H30" s="48" t="str"/>
      <x:c r="I30" s="48" t="str">
        <x:f>IF(COUNTA(D30:H30)=0,"",SUM(D30:H30)/5)</x:f>
      </x:c>
      <x:c r="J30" s="28" t="str">
        <x:f>IF(I30="","",IF(I30&gt;=90,"Excellent",IF(I30&gt;=80,"Good",IF(I30&gt;=70,"Acceptable",IF(I30&gt;=60,"Needs Attention","Critical Intervention")))))</x:f>
      </x:c>
      <x:c r="K30" s="28" t="str">
        <x:f>IF(I30="","",IF(I30&gt;=80,"Green",IF(I30&gt;=60,"Yellow","Red")))</x:f>
      </x:c>
      <x:c r="L30" s="28" t="str"/>
      <x:c r="M30" s="28" t="str"/>
    </x:row>
    <x:row r="31">
      <x:c r="A31" s="28" t="str">
        <x:v>TBD</x:v>
      </x:c>
      <x:c r="B31" s="28" t="str">
        <x:v>Frontend Engineer</x:v>
      </x:c>
      <x:c r="C31" s="28" t="str">
        <x:v>Month 4</x:v>
      </x:c>
      <x:c r="D31" s="48" t="str"/>
      <x:c r="E31" s="48" t="str"/>
      <x:c r="F31" s="48" t="str"/>
      <x:c r="G31" s="48" t="str"/>
      <x:c r="H31" s="48" t="str"/>
      <x:c r="I31" s="48" t="str">
        <x:f>IF(COUNTA(D31:H31)=0,"",SUM(D31:H31)/5)</x:f>
      </x:c>
      <x:c r="J31" s="28" t="str">
        <x:f>IF(I31="","",IF(I31&gt;=90,"Excellent",IF(I31&gt;=80,"Good",IF(I31&gt;=70,"Acceptable",IF(I31&gt;=60,"Needs Attention","Critical Intervention")))))</x:f>
      </x:c>
      <x:c r="K31" s="28" t="str">
        <x:f>IF(I31="","",IF(I31&gt;=80,"Green",IF(I31&gt;=60,"Yellow","Red")))</x:f>
      </x:c>
      <x:c r="L31" s="28" t="str"/>
      <x:c r="M31" s="28" t="str"/>
    </x:row>
    <x:row r="32">
      <x:c r="A32" s="28" t="str">
        <x:v>TBD</x:v>
      </x:c>
      <x:c r="B32" s="28" t="str">
        <x:v>QA/Tester</x:v>
      </x:c>
      <x:c r="C32" s="28" t="str">
        <x:v>Month 4</x:v>
      </x:c>
      <x:c r="D32" s="48" t="str"/>
      <x:c r="E32" s="48" t="str"/>
      <x:c r="F32" s="48" t="str"/>
      <x:c r="G32" s="48" t="str"/>
      <x:c r="H32" s="48" t="str"/>
      <x:c r="I32" s="48" t="str">
        <x:f>IF(COUNTA(D32:H32)=0,"",SUM(D32:H32)/5)</x:f>
      </x:c>
      <x:c r="J32" s="28" t="str">
        <x:f>IF(I32="","",IF(I32&gt;=90,"Excellent",IF(I32&gt;=80,"Good",IF(I32&gt;=70,"Acceptable",IF(I32&gt;=60,"Needs Attention","Critical Intervention")))))</x:f>
      </x:c>
      <x:c r="K32" s="28" t="str">
        <x:f>IF(I32="","",IF(I32&gt;=80,"Green",IF(I32&gt;=60,"Yellow","Red")))</x:f>
      </x:c>
      <x:c r="L32" s="28" t="str"/>
      <x:c r="M32" s="28" t="str"/>
    </x:row>
    <x:row r="33">
      <x:c r="A33" s="28" t="str">
        <x:v>TBD</x:v>
      </x:c>
      <x:c r="B33" s="28" t="str">
        <x:v>Technical Writer</x:v>
      </x:c>
      <x:c r="C33" s="28" t="str">
        <x:v>Month 4</x:v>
      </x:c>
      <x:c r="D33" s="48" t="str"/>
      <x:c r="E33" s="48" t="str"/>
      <x:c r="F33" s="48" t="str"/>
      <x:c r="G33" s="48" t="str"/>
      <x:c r="H33" s="48" t="str"/>
      <x:c r="I33" s="48" t="str">
        <x:f>IF(COUNTA(D33:H33)=0,"",SUM(D33:H33)/5)</x:f>
      </x:c>
      <x:c r="J33" s="28" t="str">
        <x:f>IF(I33="","",IF(I33&gt;=90,"Excellent",IF(I33&gt;=80,"Good",IF(I33&gt;=70,"Acceptable",IF(I33&gt;=60,"Needs Attention","Critical Intervention")))))</x:f>
      </x:c>
      <x:c r="K33" s="28" t="str">
        <x:f>IF(I33="","",IF(I33&gt;=80,"Green",IF(I33&gt;=60,"Yellow","Red")))</x:f>
      </x:c>
      <x:c r="L33" s="28" t="str"/>
      <x:c r="M33" s="28" t="str"/>
    </x:row>
    <x:row r="34">
      <x:c r="A34" s="28" t="str">
        <x:v>TBD</x:v>
      </x:c>
      <x:c r="B34" s="28" t="str">
        <x:v>Sales/Marketing/Presales</x:v>
      </x:c>
      <x:c r="C34" s="28" t="str">
        <x:v>Month 4</x:v>
      </x:c>
      <x:c r="D34" s="48" t="str"/>
      <x:c r="E34" s="48" t="str"/>
      <x:c r="F34" s="48" t="str"/>
      <x:c r="G34" s="48" t="str"/>
      <x:c r="H34" s="48" t="str"/>
      <x:c r="I34" s="48" t="str">
        <x:f>IF(COUNTA(D34:H34)=0,"",SUM(D34:H34)/5)</x:f>
      </x:c>
      <x:c r="J34" s="28" t="str">
        <x:f>IF(I34="","",IF(I34&gt;=90,"Excellent",IF(I34&gt;=80,"Good",IF(I34&gt;=70,"Acceptable",IF(I34&gt;=60,"Needs Attention","Critical Intervention")))))</x:f>
      </x:c>
      <x:c r="K34" s="28" t="str">
        <x:f>IF(I34="","",IF(I34&gt;=80,"Green",IF(I34&gt;=60,"Yellow","Red")))</x:f>
      </x:c>
      <x:c r="L34" s="28" t="str"/>
      <x:c r="M34" s="28" t="str"/>
    </x:row>
    <x:row r="35">
      <x:c r="A35" s="28" t="str">
        <x:v>TBD</x:v>
      </x:c>
      <x:c r="B35" s="28" t="str">
        <x:v>Product Owner</x:v>
      </x:c>
      <x:c r="C35" s="28" t="str">
        <x:v>Month 5</x:v>
      </x:c>
      <x:c r="D35" s="48" t="str"/>
      <x:c r="E35" s="48" t="str"/>
      <x:c r="F35" s="48" t="str"/>
      <x:c r="G35" s="48" t="str"/>
      <x:c r="H35" s="48" t="str"/>
      <x:c r="I35" s="48" t="str">
        <x:f>IF(COUNTA(D35:H35)=0,"",SUM(D35:H35)/5)</x:f>
      </x:c>
      <x:c r="J35" s="28" t="str">
        <x:f>IF(I35="","",IF(I35&gt;=90,"Excellent",IF(I35&gt;=80,"Good",IF(I35&gt;=70,"Acceptable",IF(I35&gt;=60,"Needs Attention","Critical Intervention")))))</x:f>
      </x:c>
      <x:c r="K35" s="28" t="str">
        <x:f>IF(I35="","",IF(I35&gt;=80,"Green",IF(I35&gt;=60,"Yellow","Red")))</x:f>
      </x:c>
      <x:c r="L35" s="28" t="str"/>
      <x:c r="M35" s="28" t="str"/>
    </x:row>
    <x:row r="36">
      <x:c r="A36" s="28" t="str">
        <x:v>TBD</x:v>
      </x:c>
      <x:c r="B36" s="28" t="str">
        <x:v>Solution Architect</x:v>
      </x:c>
      <x:c r="C36" s="28" t="str">
        <x:v>Month 5</x:v>
      </x:c>
      <x:c r="D36" s="48" t="str"/>
      <x:c r="E36" s="48" t="str"/>
      <x:c r="F36" s="48" t="str"/>
      <x:c r="G36" s="48" t="str"/>
      <x:c r="H36" s="48" t="str"/>
      <x:c r="I36" s="48" t="str">
        <x:f>IF(COUNTA(D36:H36)=0,"",SUM(D36:H36)/5)</x:f>
      </x:c>
      <x:c r="J36" s="28" t="str">
        <x:f>IF(I36="","",IF(I36&gt;=90,"Excellent",IF(I36&gt;=80,"Good",IF(I36&gt;=70,"Acceptable",IF(I36&gt;=60,"Needs Attention","Critical Intervention")))))</x:f>
      </x:c>
      <x:c r="K36" s="28" t="str">
        <x:f>IF(I36="","",IF(I36&gt;=80,"Green",IF(I36&gt;=60,"Yellow","Red")))</x:f>
      </x:c>
      <x:c r="L36" s="28" t="str"/>
      <x:c r="M36" s="28" t="str"/>
    </x:row>
    <x:row r="37">
      <x:c r="A37" s="28" t="str">
        <x:v>TBD</x:v>
      </x:c>
      <x:c r="B37" s="28" t="str">
        <x:v>Infra/OpenNebula Engineer</x:v>
      </x:c>
      <x:c r="C37" s="28" t="str">
        <x:v>Month 5</x:v>
      </x:c>
      <x:c r="D37" s="48" t="str"/>
      <x:c r="E37" s="48" t="str"/>
      <x:c r="F37" s="48" t="str"/>
      <x:c r="G37" s="48" t="str"/>
      <x:c r="H37" s="48" t="str"/>
      <x:c r="I37" s="48" t="str">
        <x:f>IF(COUNTA(D37:H37)=0,"",SUM(D37:H37)/5)</x:f>
      </x:c>
      <x:c r="J37" s="28" t="str">
        <x:f>IF(I37="","",IF(I37&gt;=90,"Excellent",IF(I37&gt;=80,"Good",IF(I37&gt;=70,"Acceptable",IF(I37&gt;=60,"Needs Attention","Critical Intervention")))))</x:f>
      </x:c>
      <x:c r="K37" s="28" t="str">
        <x:f>IF(I37="","",IF(I37&gt;=80,"Green",IF(I37&gt;=60,"Yellow","Red")))</x:f>
      </x:c>
      <x:c r="L37" s="28" t="str"/>
      <x:c r="M37" s="28" t="str"/>
    </x:row>
    <x:row r="38">
      <x:c r="A38" s="28" t="str">
        <x:v>TBD</x:v>
      </x:c>
      <x:c r="B38" s="28" t="str">
        <x:v>Backend Engineer</x:v>
      </x:c>
      <x:c r="C38" s="28" t="str">
        <x:v>Month 5</x:v>
      </x:c>
      <x:c r="D38" s="48" t="str"/>
      <x:c r="E38" s="48" t="str"/>
      <x:c r="F38" s="48" t="str"/>
      <x:c r="G38" s="48" t="str"/>
      <x:c r="H38" s="48" t="str"/>
      <x:c r="I38" s="48" t="str">
        <x:f>IF(COUNTA(D38:H38)=0,"",SUM(D38:H38)/5)</x:f>
      </x:c>
      <x:c r="J38" s="28" t="str">
        <x:f>IF(I38="","",IF(I38&gt;=90,"Excellent",IF(I38&gt;=80,"Good",IF(I38&gt;=70,"Acceptable",IF(I38&gt;=60,"Needs Attention","Critical Intervention")))))</x:f>
      </x:c>
      <x:c r="K38" s="28" t="str">
        <x:f>IF(I38="","",IF(I38&gt;=80,"Green",IF(I38&gt;=60,"Yellow","Red")))</x:f>
      </x:c>
      <x:c r="L38" s="28" t="str"/>
      <x:c r="M38" s="28" t="str"/>
    </x:row>
    <x:row r="39">
      <x:c r="A39" s="28" t="str">
        <x:v>TBD</x:v>
      </x:c>
      <x:c r="B39" s="28" t="str">
        <x:v>Frontend Engineer</x:v>
      </x:c>
      <x:c r="C39" s="28" t="str">
        <x:v>Month 5</x:v>
      </x:c>
      <x:c r="D39" s="48" t="str"/>
      <x:c r="E39" s="48" t="str"/>
      <x:c r="F39" s="48" t="str"/>
      <x:c r="G39" s="48" t="str"/>
      <x:c r="H39" s="48" t="str"/>
      <x:c r="I39" s="48" t="str">
        <x:f>IF(COUNTA(D39:H39)=0,"",SUM(D39:H39)/5)</x:f>
      </x:c>
      <x:c r="J39" s="28" t="str">
        <x:f>IF(I39="","",IF(I39&gt;=90,"Excellent",IF(I39&gt;=80,"Good",IF(I39&gt;=70,"Acceptable",IF(I39&gt;=60,"Needs Attention","Critical Intervention")))))</x:f>
      </x:c>
      <x:c r="K39" s="28" t="str">
        <x:f>IF(I39="","",IF(I39&gt;=80,"Green",IF(I39&gt;=60,"Yellow","Red")))</x:f>
      </x:c>
      <x:c r="L39" s="28" t="str"/>
      <x:c r="M39" s="28" t="str"/>
    </x:row>
    <x:row r="40">
      <x:c r="A40" s="28" t="str">
        <x:v>TBD</x:v>
      </x:c>
      <x:c r="B40" s="28" t="str">
        <x:v>QA/Tester</x:v>
      </x:c>
      <x:c r="C40" s="28" t="str">
        <x:v>Month 5</x:v>
      </x:c>
      <x:c r="D40" s="48" t="str"/>
      <x:c r="E40" s="48" t="str"/>
      <x:c r="F40" s="48" t="str"/>
      <x:c r="G40" s="48" t="str"/>
      <x:c r="H40" s="48" t="str"/>
      <x:c r="I40" s="48" t="str">
        <x:f>IF(COUNTA(D40:H40)=0,"",SUM(D40:H40)/5)</x:f>
      </x:c>
      <x:c r="J40" s="28" t="str">
        <x:f>IF(I40="","",IF(I40&gt;=90,"Excellent",IF(I40&gt;=80,"Good",IF(I40&gt;=70,"Acceptable",IF(I40&gt;=60,"Needs Attention","Critical Intervention")))))</x:f>
      </x:c>
      <x:c r="K40" s="28" t="str">
        <x:f>IF(I40="","",IF(I40&gt;=80,"Green",IF(I40&gt;=60,"Yellow","Red")))</x:f>
      </x:c>
      <x:c r="L40" s="28" t="str"/>
      <x:c r="M40" s="28" t="str"/>
    </x:row>
    <x:row r="41">
      <x:c r="A41" s="28" t="str">
        <x:v>TBD</x:v>
      </x:c>
      <x:c r="B41" s="28" t="str">
        <x:v>Technical Writer</x:v>
      </x:c>
      <x:c r="C41" s="28" t="str">
        <x:v>Month 5</x:v>
      </x:c>
      <x:c r="D41" s="48" t="str"/>
      <x:c r="E41" s="48" t="str"/>
      <x:c r="F41" s="48" t="str"/>
      <x:c r="G41" s="48" t="str"/>
      <x:c r="H41" s="48" t="str"/>
      <x:c r="I41" s="48" t="str">
        <x:f>IF(COUNTA(D41:H41)=0,"",SUM(D41:H41)/5)</x:f>
      </x:c>
      <x:c r="J41" s="28" t="str">
        <x:f>IF(I41="","",IF(I41&gt;=90,"Excellent",IF(I41&gt;=80,"Good",IF(I41&gt;=70,"Acceptable",IF(I41&gt;=60,"Needs Attention","Critical Intervention")))))</x:f>
      </x:c>
      <x:c r="K41" s="28" t="str">
        <x:f>IF(I41="","",IF(I41&gt;=80,"Green",IF(I41&gt;=60,"Yellow","Red")))</x:f>
      </x:c>
      <x:c r="L41" s="28" t="str"/>
      <x:c r="M41" s="28" t="str"/>
    </x:row>
    <x:row r="42">
      <x:c r="A42" s="28" t="str">
        <x:v>TBD</x:v>
      </x:c>
      <x:c r="B42" s="28" t="str">
        <x:v>Sales/Marketing/Presales</x:v>
      </x:c>
      <x:c r="C42" s="28" t="str">
        <x:v>Month 5</x:v>
      </x:c>
      <x:c r="D42" s="48" t="str"/>
      <x:c r="E42" s="48" t="str"/>
      <x:c r="F42" s="48" t="str"/>
      <x:c r="G42" s="48" t="str"/>
      <x:c r="H42" s="48" t="str"/>
      <x:c r="I42" s="48" t="str">
        <x:f>IF(COUNTA(D42:H42)=0,"",SUM(D42:H42)/5)</x:f>
      </x:c>
      <x:c r="J42" s="28" t="str">
        <x:f>IF(I42="","",IF(I42&gt;=90,"Excellent",IF(I42&gt;=80,"Good",IF(I42&gt;=70,"Acceptable",IF(I42&gt;=60,"Needs Attention","Critical Intervention")))))</x:f>
      </x:c>
      <x:c r="K42" s="28" t="str">
        <x:f>IF(I42="","",IF(I42&gt;=80,"Green",IF(I42&gt;=60,"Yellow","Red")))</x:f>
      </x:c>
      <x:c r="L42" s="28" t="str"/>
      <x:c r="M42" s="28" t="str"/>
    </x:row>
    <x:row r="43">
      <x:c r="A43" s="28" t="str">
        <x:v>TBD</x:v>
      </x:c>
      <x:c r="B43" s="28" t="str">
        <x:v>Product Owner</x:v>
      </x:c>
      <x:c r="C43" s="28" t="str">
        <x:v>Month 6</x:v>
      </x:c>
      <x:c r="D43" s="48" t="str"/>
      <x:c r="E43" s="48" t="str"/>
      <x:c r="F43" s="48" t="str"/>
      <x:c r="G43" s="48" t="str"/>
      <x:c r="H43" s="48" t="str"/>
      <x:c r="I43" s="48" t="str">
        <x:f>IF(COUNTA(D43:H43)=0,"",SUM(D43:H43)/5)</x:f>
      </x:c>
      <x:c r="J43" s="28" t="str">
        <x:f>IF(I43="","",IF(I43&gt;=90,"Excellent",IF(I43&gt;=80,"Good",IF(I43&gt;=70,"Acceptable",IF(I43&gt;=60,"Needs Attention","Critical Intervention")))))</x:f>
      </x:c>
      <x:c r="K43" s="28" t="str">
        <x:f>IF(I43="","",IF(I43&gt;=80,"Green",IF(I43&gt;=60,"Yellow","Red")))</x:f>
      </x:c>
      <x:c r="L43" s="28" t="str"/>
      <x:c r="M43" s="28" t="str"/>
    </x:row>
    <x:row r="44">
      <x:c r="A44" s="28" t="str">
        <x:v>TBD</x:v>
      </x:c>
      <x:c r="B44" s="28" t="str">
        <x:v>Solution Architect</x:v>
      </x:c>
      <x:c r="C44" s="28" t="str">
        <x:v>Month 6</x:v>
      </x:c>
      <x:c r="D44" s="48" t="str"/>
      <x:c r="E44" s="48" t="str"/>
      <x:c r="F44" s="48" t="str"/>
      <x:c r="G44" s="48" t="str"/>
      <x:c r="H44" s="48" t="str"/>
      <x:c r="I44" s="48" t="str">
        <x:f>IF(COUNTA(D44:H44)=0,"",SUM(D44:H44)/5)</x:f>
      </x:c>
      <x:c r="J44" s="28" t="str">
        <x:f>IF(I44="","",IF(I44&gt;=90,"Excellent",IF(I44&gt;=80,"Good",IF(I44&gt;=70,"Acceptable",IF(I44&gt;=60,"Needs Attention","Critical Intervention")))))</x:f>
      </x:c>
      <x:c r="K44" s="28" t="str">
        <x:f>IF(I44="","",IF(I44&gt;=80,"Green",IF(I44&gt;=60,"Yellow","Red")))</x:f>
      </x:c>
      <x:c r="L44" s="28" t="str"/>
      <x:c r="M44" s="28" t="str"/>
    </x:row>
    <x:row r="45">
      <x:c r="A45" s="28" t="str">
        <x:v>TBD</x:v>
      </x:c>
      <x:c r="B45" s="28" t="str">
        <x:v>Infra/OpenNebula Engineer</x:v>
      </x:c>
      <x:c r="C45" s="28" t="str">
        <x:v>Month 6</x:v>
      </x:c>
      <x:c r="D45" s="48" t="str"/>
      <x:c r="E45" s="48" t="str"/>
      <x:c r="F45" s="48" t="str"/>
      <x:c r="G45" s="48" t="str"/>
      <x:c r="H45" s="48" t="str"/>
      <x:c r="I45" s="48" t="str">
        <x:f>IF(COUNTA(D45:H45)=0,"",SUM(D45:H45)/5)</x:f>
      </x:c>
      <x:c r="J45" s="28" t="str">
        <x:f>IF(I45="","",IF(I45&gt;=90,"Excellent",IF(I45&gt;=80,"Good",IF(I45&gt;=70,"Acceptable",IF(I45&gt;=60,"Needs Attention","Critical Intervention")))))</x:f>
      </x:c>
      <x:c r="K45" s="28" t="str">
        <x:f>IF(I45="","",IF(I45&gt;=80,"Green",IF(I45&gt;=60,"Yellow","Red")))</x:f>
      </x:c>
      <x:c r="L45" s="28" t="str"/>
      <x:c r="M45" s="28" t="str"/>
    </x:row>
    <x:row r="46">
      <x:c r="A46" s="28" t="str">
        <x:v>TBD</x:v>
      </x:c>
      <x:c r="B46" s="28" t="str">
        <x:v>Backend Engineer</x:v>
      </x:c>
      <x:c r="C46" s="28" t="str">
        <x:v>Month 6</x:v>
      </x:c>
      <x:c r="D46" s="48" t="str"/>
      <x:c r="E46" s="48" t="str"/>
      <x:c r="F46" s="48" t="str"/>
      <x:c r="G46" s="48" t="str"/>
      <x:c r="H46" s="48" t="str"/>
      <x:c r="I46" s="48" t="str">
        <x:f>IF(COUNTA(D46:H46)=0,"",SUM(D46:H46)/5)</x:f>
      </x:c>
      <x:c r="J46" s="28" t="str">
        <x:f>IF(I46="","",IF(I46&gt;=90,"Excellent",IF(I46&gt;=80,"Good",IF(I46&gt;=70,"Acceptable",IF(I46&gt;=60,"Needs Attention","Critical Intervention")))))</x:f>
      </x:c>
      <x:c r="K46" s="28" t="str">
        <x:f>IF(I46="","",IF(I46&gt;=80,"Green",IF(I46&gt;=60,"Yellow","Red")))</x:f>
      </x:c>
      <x:c r="L46" s="28" t="str"/>
      <x:c r="M46" s="28" t="str"/>
    </x:row>
    <x:row r="47">
      <x:c r="A47" s="28" t="str">
        <x:v>TBD</x:v>
      </x:c>
      <x:c r="B47" s="28" t="str">
        <x:v>Frontend Engineer</x:v>
      </x:c>
      <x:c r="C47" s="28" t="str">
        <x:v>Month 6</x:v>
      </x:c>
      <x:c r="D47" s="48" t="str"/>
      <x:c r="E47" s="48" t="str"/>
      <x:c r="F47" s="48" t="str"/>
      <x:c r="G47" s="48" t="str"/>
      <x:c r="H47" s="48" t="str"/>
      <x:c r="I47" s="48" t="str">
        <x:f>IF(COUNTA(D47:H47)=0,"",SUM(D47:H47)/5)</x:f>
      </x:c>
      <x:c r="J47" s="28" t="str">
        <x:f>IF(I47="","",IF(I47&gt;=90,"Excellent",IF(I47&gt;=80,"Good",IF(I47&gt;=70,"Acceptable",IF(I47&gt;=60,"Needs Attention","Critical Intervention")))))</x:f>
      </x:c>
      <x:c r="K47" s="28" t="str">
        <x:f>IF(I47="","",IF(I47&gt;=80,"Green",IF(I47&gt;=60,"Yellow","Red")))</x:f>
      </x:c>
      <x:c r="L47" s="28" t="str"/>
      <x:c r="M47" s="28" t="str"/>
    </x:row>
    <x:row r="48">
      <x:c r="A48" s="28" t="str">
        <x:v>TBD</x:v>
      </x:c>
      <x:c r="B48" s="28" t="str">
        <x:v>QA/Tester</x:v>
      </x:c>
      <x:c r="C48" s="28" t="str">
        <x:v>Month 6</x:v>
      </x:c>
      <x:c r="D48" s="48" t="str"/>
      <x:c r="E48" s="48" t="str"/>
      <x:c r="F48" s="48" t="str"/>
      <x:c r="G48" s="48" t="str"/>
      <x:c r="H48" s="48" t="str"/>
      <x:c r="I48" s="48" t="str">
        <x:f>IF(COUNTA(D48:H48)=0,"",SUM(D48:H48)/5)</x:f>
      </x:c>
      <x:c r="J48" s="28" t="str">
        <x:f>IF(I48="","",IF(I48&gt;=90,"Excellent",IF(I48&gt;=80,"Good",IF(I48&gt;=70,"Acceptable",IF(I48&gt;=60,"Needs Attention","Critical Intervention")))))</x:f>
      </x:c>
      <x:c r="K48" s="28" t="str">
        <x:f>IF(I48="","",IF(I48&gt;=80,"Green",IF(I48&gt;=60,"Yellow","Red")))</x:f>
      </x:c>
      <x:c r="L48" s="28" t="str"/>
      <x:c r="M48" s="28" t="str"/>
    </x:row>
    <x:row r="49">
      <x:c r="A49" s="28" t="str">
        <x:v>TBD</x:v>
      </x:c>
      <x:c r="B49" s="28" t="str">
        <x:v>Technical Writer</x:v>
      </x:c>
      <x:c r="C49" s="28" t="str">
        <x:v>Month 6</x:v>
      </x:c>
      <x:c r="D49" s="48" t="str"/>
      <x:c r="E49" s="48" t="str"/>
      <x:c r="F49" s="48" t="str"/>
      <x:c r="G49" s="48" t="str"/>
      <x:c r="H49" s="48" t="str"/>
      <x:c r="I49" s="48" t="str">
        <x:f>IF(COUNTA(D49:H49)=0,"",SUM(D49:H49)/5)</x:f>
      </x:c>
      <x:c r="J49" s="28" t="str">
        <x:f>IF(I49="","",IF(I49&gt;=90,"Excellent",IF(I49&gt;=80,"Good",IF(I49&gt;=70,"Acceptable",IF(I49&gt;=60,"Needs Attention","Critical Intervention")))))</x:f>
      </x:c>
      <x:c r="K49" s="28" t="str">
        <x:f>IF(I49="","",IF(I49&gt;=80,"Green",IF(I49&gt;=60,"Yellow","Red")))</x:f>
      </x:c>
      <x:c r="L49" s="28" t="str"/>
      <x:c r="M49" s="28" t="str"/>
    </x:row>
    <x:row r="50">
      <x:c r="A50" s="28" t="str">
        <x:v>TBD</x:v>
      </x:c>
      <x:c r="B50" s="28" t="str">
        <x:v>Sales/Marketing/Presales</x:v>
      </x:c>
      <x:c r="C50" s="28" t="str">
        <x:v>Month 6</x:v>
      </x:c>
      <x:c r="D50" s="48" t="str"/>
      <x:c r="E50" s="48" t="str"/>
      <x:c r="F50" s="48" t="str"/>
      <x:c r="G50" s="48" t="str"/>
      <x:c r="H50" s="48" t="str"/>
      <x:c r="I50" s="48" t="str">
        <x:f>IF(COUNTA(D50:H50)=0,"",SUM(D50:H50)/5)</x:f>
      </x:c>
      <x:c r="J50" s="28" t="str">
        <x:f>IF(I50="","",IF(I50&gt;=90,"Excellent",IF(I50&gt;=80,"Good",IF(I50&gt;=70,"Acceptable",IF(I50&gt;=60,"Needs Attention","Critical Intervention")))))</x:f>
      </x:c>
      <x:c r="K50" s="28" t="str">
        <x:f>IF(I50="","",IF(I50&gt;=80,"Green",IF(I50&gt;=60,"Yellow","Red")))</x:f>
      </x:c>
      <x:c r="L50" s="28" t="str"/>
      <x:c r="M50" s="28" t="str"/>
    </x:row>
  </x:sheetData>
  <x:mergeCells>
    <x:mergeCell ref="A1:M1"/>
  </x:mergeCells>
  <x:conditionalFormatting sqref="K3:K50">
    <x:cfRule type="expression" dxfId="12" priority="1">
      <x:formula>K3="Green"</x:formula>
    </x:cfRule>
    <x:cfRule type="expression" dxfId="13" priority="2">
      <x:formula>K3="Yellow"</x:formula>
    </x:cfRule>
    <x:cfRule type="expression" dxfId="14" priority="3">
      <x:formula>K3="Red"</x:formula>
    </x:cfRule>
    <x:cfRule type="expression" dxfId="15" priority="4">
      <x:formula>K3="Black"</x:formula>
    </x:cfRule>
  </x:conditionalFormatting>
  <x:dataValidations count="2">
    <x:dataValidation type="list" sqref="B3:B50">
      <x:formula1>Lookups!$D$2:$D$9</x:formula1>
    </x:dataValidation>
    <x:dataValidation type="list" sqref="K3:K50">
      <x:formula1>Lookups!$C$2:$C$5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318d7ff0ee41a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6" hidden="0" customWidth="1"/>
    <x:col min="5" max="5" width="10" hidden="0" customWidth="1"/>
    <x:col min="6" max="6" width="12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18" hidden="0" customWidth="1"/>
    <x:col min="12" max="12" width="12" hidden="0" customWidth="1"/>
    <x:col min="13" max="13" width="12" hidden="0" customWidth="1"/>
    <x:col min="14" max="14" width="30" hidden="0" customWidth="1"/>
  </x:cols>
  <x:sheetData>
    <x:row r="1" ht="28" customHeight="1">
      <x:c r="A1" s="15" t="str">
        <x:v>Weekly CTO Review</x:v>
      </x:c>
    </x:row>
    <x:row r="2" ht="28" customHeight="1">
      <x:c r="A2" s="6" t="str">
        <x:v>Week</x:v>
      </x:c>
      <x:c r="B2" s="6" t="str">
        <x:v>Sprint</x:v>
      </x:c>
      <x:c r="C2" s="6" t="str">
        <x:v>Review Date</x:v>
      </x:c>
      <x:c r="D2" s="6" t="str">
        <x:v>Role</x:v>
      </x:c>
      <x:c r="E2" s="6" t="str">
        <x:v>RAG</x:v>
      </x:c>
      <x:c r="F2" s="6" t="str">
        <x:v>Progress %</x:v>
      </x:c>
      <x:c r="G2" s="6" t="str">
        <x:v>Completed Items</x:v>
      </x:c>
      <x:c r="H2" s="6" t="str">
        <x:v>Blockers</x:v>
      </x:c>
      <x:c r="I2" s="6" t="str">
        <x:v>Decisions Needed</x:v>
      </x:c>
      <x:c r="J2" s="6" t="str">
        <x:v>CTO Action</x:v>
      </x:c>
      <x:c r="K2" s="6" t="str">
        <x:v>Owner</x:v>
      </x:c>
      <x:c r="L2" s="6" t="str">
        <x:v>Due Date</x:v>
      </x:c>
      <x:c r="M2" s="6" t="str">
        <x:v>Status</x:v>
      </x:c>
      <x:c r="N2" s="6" t="str">
        <x:v>Notes</x:v>
      </x:c>
    </x:row>
    <x:row r="3">
      <x:c r="A3" s="28" t="str">
        <x:v>Week 1</x:v>
      </x:c>
      <x:c r="B3" s="28" t="str">
        <x:v>Sprint 0</x:v>
      </x:c>
      <x:c r="C3" s="42" t="n">
        <x:v>46204</x:v>
      </x:c>
      <x:c r="D3" s="28" t="str">
        <x:v>Product Owner</x:v>
      </x:c>
      <x:c r="E3" s="28" t="str">
        <x:v>Green</x:v>
      </x:c>
      <x:c r="F3" s="43" t="str"/>
      <x:c r="G3" s="28" t="str"/>
      <x:c r="H3" s="28" t="str"/>
      <x:c r="I3" s="28" t="str"/>
      <x:c r="J3" s="28" t="str"/>
      <x:c r="K3" s="28" t="str">
        <x:v>TBD</x:v>
      </x:c>
      <x:c r="L3" s="42" t="str"/>
      <x:c r="M3" s="28" t="str">
        <x:v>Open</x:v>
      </x:c>
      <x:c r="N3" s="28" t="str"/>
    </x:row>
    <x:row r="4">
      <x:c r="A4" s="28" t="str">
        <x:v>Week 1</x:v>
      </x:c>
      <x:c r="B4" s="28" t="str">
        <x:v>Sprint 0</x:v>
      </x:c>
      <x:c r="C4" s="42" t="n">
        <x:v>46204</x:v>
      </x:c>
      <x:c r="D4" s="28" t="str">
        <x:v>Solution Architect</x:v>
      </x:c>
      <x:c r="E4" s="28" t="str">
        <x:v>Green</x:v>
      </x:c>
      <x:c r="F4" s="43" t="str"/>
      <x:c r="G4" s="28" t="str"/>
      <x:c r="H4" s="28" t="str"/>
      <x:c r="I4" s="28" t="str"/>
      <x:c r="J4" s="28" t="str"/>
      <x:c r="K4" s="28" t="str">
        <x:v>TBD</x:v>
      </x:c>
      <x:c r="L4" s="42" t="str"/>
      <x:c r="M4" s="28" t="str">
        <x:v>Open</x:v>
      </x:c>
      <x:c r="N4" s="28" t="str"/>
    </x:row>
    <x:row r="5">
      <x:c r="A5" s="28" t="str">
        <x:v>Week 1</x:v>
      </x:c>
      <x:c r="B5" s="28" t="str">
        <x:v>Sprint 0</x:v>
      </x:c>
      <x:c r="C5" s="42" t="n">
        <x:v>46204</x:v>
      </x:c>
      <x:c r="D5" s="28" t="str">
        <x:v>Infra/OpenNebula Engineer</x:v>
      </x:c>
      <x:c r="E5" s="28" t="str">
        <x:v>Green</x:v>
      </x:c>
      <x:c r="F5" s="43" t="str"/>
      <x:c r="G5" s="28" t="str"/>
      <x:c r="H5" s="28" t="str"/>
      <x:c r="I5" s="28" t="str"/>
      <x:c r="J5" s="28" t="str"/>
      <x:c r="K5" s="28" t="str">
        <x:v>TBD</x:v>
      </x:c>
      <x:c r="L5" s="42" t="str"/>
      <x:c r="M5" s="28" t="str">
        <x:v>Open</x:v>
      </x:c>
      <x:c r="N5" s="28" t="str"/>
    </x:row>
    <x:row r="6">
      <x:c r="A6" s="28" t="str">
        <x:v>Week 1</x:v>
      </x:c>
      <x:c r="B6" s="28" t="str">
        <x:v>Sprint 0</x:v>
      </x:c>
      <x:c r="C6" s="42" t="n">
        <x:v>46204</x:v>
      </x:c>
      <x:c r="D6" s="28" t="str">
        <x:v>Backend Engineer</x:v>
      </x:c>
      <x:c r="E6" s="28" t="str">
        <x:v>Green</x:v>
      </x:c>
      <x:c r="F6" s="43" t="str"/>
      <x:c r="G6" s="28" t="str"/>
      <x:c r="H6" s="28" t="str"/>
      <x:c r="I6" s="28" t="str"/>
      <x:c r="J6" s="28" t="str"/>
      <x:c r="K6" s="28" t="str">
        <x:v>TBD</x:v>
      </x:c>
      <x:c r="L6" s="42" t="str"/>
      <x:c r="M6" s="28" t="str">
        <x:v>Open</x:v>
      </x:c>
      <x:c r="N6" s="28" t="str"/>
    </x:row>
    <x:row r="7">
      <x:c r="A7" s="28" t="str">
        <x:v>Week 1</x:v>
      </x:c>
      <x:c r="B7" s="28" t="str">
        <x:v>Sprint 0</x:v>
      </x:c>
      <x:c r="C7" s="42" t="n">
        <x:v>46204</x:v>
      </x:c>
      <x:c r="D7" s="28" t="str">
        <x:v>Frontend Engineer</x:v>
      </x:c>
      <x:c r="E7" s="28" t="str">
        <x:v>Green</x:v>
      </x:c>
      <x:c r="F7" s="43" t="str"/>
      <x:c r="G7" s="28" t="str"/>
      <x:c r="H7" s="28" t="str"/>
      <x:c r="I7" s="28" t="str"/>
      <x:c r="J7" s="28" t="str"/>
      <x:c r="K7" s="28" t="str">
        <x:v>TBD</x:v>
      </x:c>
      <x:c r="L7" s="42" t="str"/>
      <x:c r="M7" s="28" t="str">
        <x:v>Open</x:v>
      </x:c>
      <x:c r="N7" s="28" t="str"/>
    </x:row>
    <x:row r="8">
      <x:c r="A8" s="28" t="str">
        <x:v>Week 1</x:v>
      </x:c>
      <x:c r="B8" s="28" t="str">
        <x:v>Sprint 0</x:v>
      </x:c>
      <x:c r="C8" s="42" t="n">
        <x:v>46204</x:v>
      </x:c>
      <x:c r="D8" s="28" t="str">
        <x:v>QA/Tester</x:v>
      </x:c>
      <x:c r="E8" s="28" t="str">
        <x:v>Green</x:v>
      </x:c>
      <x:c r="F8" s="43" t="str"/>
      <x:c r="G8" s="28" t="str"/>
      <x:c r="H8" s="28" t="str"/>
      <x:c r="I8" s="28" t="str"/>
      <x:c r="J8" s="28" t="str"/>
      <x:c r="K8" s="28" t="str">
        <x:v>TBD</x:v>
      </x:c>
      <x:c r="L8" s="42" t="str"/>
      <x:c r="M8" s="28" t="str">
        <x:v>Open</x:v>
      </x:c>
      <x:c r="N8" s="28" t="str"/>
    </x:row>
    <x:row r="9">
      <x:c r="A9" s="28" t="str">
        <x:v>Week 1</x:v>
      </x:c>
      <x:c r="B9" s="28" t="str">
        <x:v>Sprint 0</x:v>
      </x:c>
      <x:c r="C9" s="42" t="n">
        <x:v>46204</x:v>
      </x:c>
      <x:c r="D9" s="28" t="str">
        <x:v>Technical Writer</x:v>
      </x:c>
      <x:c r="E9" s="28" t="str">
        <x:v>Green</x:v>
      </x:c>
      <x:c r="F9" s="43" t="str"/>
      <x:c r="G9" s="28" t="str"/>
      <x:c r="H9" s="28" t="str"/>
      <x:c r="I9" s="28" t="str"/>
      <x:c r="J9" s="28" t="str"/>
      <x:c r="K9" s="28" t="str">
        <x:v>TBD</x:v>
      </x:c>
      <x:c r="L9" s="42" t="str"/>
      <x:c r="M9" s="28" t="str">
        <x:v>Open</x:v>
      </x:c>
      <x:c r="N9" s="28" t="str"/>
    </x:row>
    <x:row r="10">
      <x:c r="A10" s="28" t="str">
        <x:v>Week 1</x:v>
      </x:c>
      <x:c r="B10" s="28" t="str">
        <x:v>Sprint 0</x:v>
      </x:c>
      <x:c r="C10" s="42" t="n">
        <x:v>46204</x:v>
      </x:c>
      <x:c r="D10" s="28" t="str">
        <x:v>Sales/Marketing/Presales</x:v>
      </x:c>
      <x:c r="E10" s="28" t="str">
        <x:v>Green</x:v>
      </x:c>
      <x:c r="F10" s="43" t="str"/>
      <x:c r="G10" s="28" t="str"/>
      <x:c r="H10" s="28" t="str"/>
      <x:c r="I10" s="28" t="str"/>
      <x:c r="J10" s="28" t="str"/>
      <x:c r="K10" s="28" t="str">
        <x:v>TBD</x:v>
      </x:c>
      <x:c r="L10" s="42" t="str"/>
      <x:c r="M10" s="28" t="str">
        <x:v>Open</x:v>
      </x:c>
      <x:c r="N10" s="28" t="str"/>
    </x:row>
    <x:row r="11">
      <x:c r="A11" s="28" t="str">
        <x:v>Week 2</x:v>
      </x:c>
      <x:c r="B11" s="28" t="str">
        <x:v>Sprint 0</x:v>
      </x:c>
      <x:c r="C11" s="42" t="n">
        <x:v>46211</x:v>
      </x:c>
      <x:c r="D11" s="28" t="str">
        <x:v>Product Owner</x:v>
      </x:c>
      <x:c r="E11" s="28" t="str">
        <x:v>Green</x:v>
      </x:c>
      <x:c r="F11" s="43" t="str"/>
      <x:c r="G11" s="28" t="str"/>
      <x:c r="H11" s="28" t="str"/>
      <x:c r="I11" s="28" t="str"/>
      <x:c r="J11" s="28" t="str"/>
      <x:c r="K11" s="28" t="str">
        <x:v>TBD</x:v>
      </x:c>
      <x:c r="L11" s="42" t="str"/>
      <x:c r="M11" s="28" t="str">
        <x:v>Open</x:v>
      </x:c>
      <x:c r="N11" s="28" t="str"/>
    </x:row>
    <x:row r="12">
      <x:c r="A12" s="28" t="str">
        <x:v>Week 2</x:v>
      </x:c>
      <x:c r="B12" s="28" t="str">
        <x:v>Sprint 0</x:v>
      </x:c>
      <x:c r="C12" s="42" t="n">
        <x:v>46211</x:v>
      </x:c>
      <x:c r="D12" s="28" t="str">
        <x:v>Solution Architect</x:v>
      </x:c>
      <x:c r="E12" s="28" t="str">
        <x:v>Green</x:v>
      </x:c>
      <x:c r="F12" s="43" t="str"/>
      <x:c r="G12" s="28" t="str"/>
      <x:c r="H12" s="28" t="str"/>
      <x:c r="I12" s="28" t="str"/>
      <x:c r="J12" s="28" t="str"/>
      <x:c r="K12" s="28" t="str">
        <x:v>TBD</x:v>
      </x:c>
      <x:c r="L12" s="42" t="str"/>
      <x:c r="M12" s="28" t="str">
        <x:v>Open</x:v>
      </x:c>
      <x:c r="N12" s="28" t="str"/>
    </x:row>
    <x:row r="13">
      <x:c r="A13" s="28" t="str">
        <x:v>Week 2</x:v>
      </x:c>
      <x:c r="B13" s="28" t="str">
        <x:v>Sprint 0</x:v>
      </x:c>
      <x:c r="C13" s="42" t="n">
        <x:v>46211</x:v>
      </x:c>
      <x:c r="D13" s="28" t="str">
        <x:v>Infra/OpenNebula Engineer</x:v>
      </x:c>
      <x:c r="E13" s="28" t="str">
        <x:v>Green</x:v>
      </x:c>
      <x:c r="F13" s="43" t="str"/>
      <x:c r="G13" s="28" t="str"/>
      <x:c r="H13" s="28" t="str"/>
      <x:c r="I13" s="28" t="str"/>
      <x:c r="J13" s="28" t="str"/>
      <x:c r="K13" s="28" t="str">
        <x:v>TBD</x:v>
      </x:c>
      <x:c r="L13" s="42" t="str"/>
      <x:c r="M13" s="28" t="str">
        <x:v>Open</x:v>
      </x:c>
      <x:c r="N13" s="28" t="str"/>
    </x:row>
    <x:row r="14">
      <x:c r="A14" s="28" t="str">
        <x:v>Week 2</x:v>
      </x:c>
      <x:c r="B14" s="28" t="str">
        <x:v>Sprint 0</x:v>
      </x:c>
      <x:c r="C14" s="42" t="n">
        <x:v>46211</x:v>
      </x:c>
      <x:c r="D14" s="28" t="str">
        <x:v>Backend Engineer</x:v>
      </x:c>
      <x:c r="E14" s="28" t="str">
        <x:v>Green</x:v>
      </x:c>
      <x:c r="F14" s="43" t="str"/>
      <x:c r="G14" s="28" t="str"/>
      <x:c r="H14" s="28" t="str"/>
      <x:c r="I14" s="28" t="str"/>
      <x:c r="J14" s="28" t="str"/>
      <x:c r="K14" s="28" t="str">
        <x:v>TBD</x:v>
      </x:c>
      <x:c r="L14" s="42" t="str"/>
      <x:c r="M14" s="28" t="str">
        <x:v>Open</x:v>
      </x:c>
      <x:c r="N14" s="28" t="str"/>
    </x:row>
    <x:row r="15">
      <x:c r="A15" s="28" t="str">
        <x:v>Week 2</x:v>
      </x:c>
      <x:c r="B15" s="28" t="str">
        <x:v>Sprint 0</x:v>
      </x:c>
      <x:c r="C15" s="42" t="n">
        <x:v>46211</x:v>
      </x:c>
      <x:c r="D15" s="28" t="str">
        <x:v>Frontend Engineer</x:v>
      </x:c>
      <x:c r="E15" s="28" t="str">
        <x:v>Green</x:v>
      </x:c>
      <x:c r="F15" s="43" t="str"/>
      <x:c r="G15" s="28" t="str"/>
      <x:c r="H15" s="28" t="str"/>
      <x:c r="I15" s="28" t="str"/>
      <x:c r="J15" s="28" t="str"/>
      <x:c r="K15" s="28" t="str">
        <x:v>TBD</x:v>
      </x:c>
      <x:c r="L15" s="42" t="str"/>
      <x:c r="M15" s="28" t="str">
        <x:v>Open</x:v>
      </x:c>
      <x:c r="N15" s="28" t="str"/>
    </x:row>
    <x:row r="16">
      <x:c r="A16" s="28" t="str">
        <x:v>Week 2</x:v>
      </x:c>
      <x:c r="B16" s="28" t="str">
        <x:v>Sprint 0</x:v>
      </x:c>
      <x:c r="C16" s="42" t="n">
        <x:v>46211</x:v>
      </x:c>
      <x:c r="D16" s="28" t="str">
        <x:v>QA/Tester</x:v>
      </x:c>
      <x:c r="E16" s="28" t="str">
        <x:v>Green</x:v>
      </x:c>
      <x:c r="F16" s="43" t="str"/>
      <x:c r="G16" s="28" t="str"/>
      <x:c r="H16" s="28" t="str"/>
      <x:c r="I16" s="28" t="str"/>
      <x:c r="J16" s="28" t="str"/>
      <x:c r="K16" s="28" t="str">
        <x:v>TBD</x:v>
      </x:c>
      <x:c r="L16" s="42" t="str"/>
      <x:c r="M16" s="28" t="str">
        <x:v>Open</x:v>
      </x:c>
      <x:c r="N16" s="28" t="str"/>
    </x:row>
    <x:row r="17">
      <x:c r="A17" s="28" t="str">
        <x:v>Week 2</x:v>
      </x:c>
      <x:c r="B17" s="28" t="str">
        <x:v>Sprint 0</x:v>
      </x:c>
      <x:c r="C17" s="42" t="n">
        <x:v>46211</x:v>
      </x:c>
      <x:c r="D17" s="28" t="str">
        <x:v>Technical Writer</x:v>
      </x:c>
      <x:c r="E17" s="28" t="str">
        <x:v>Green</x:v>
      </x:c>
      <x:c r="F17" s="43" t="str"/>
      <x:c r="G17" s="28" t="str"/>
      <x:c r="H17" s="28" t="str"/>
      <x:c r="I17" s="28" t="str"/>
      <x:c r="J17" s="28" t="str"/>
      <x:c r="K17" s="28" t="str">
        <x:v>TBD</x:v>
      </x:c>
      <x:c r="L17" s="42" t="str"/>
      <x:c r="M17" s="28" t="str">
        <x:v>Open</x:v>
      </x:c>
      <x:c r="N17" s="28" t="str"/>
    </x:row>
    <x:row r="18">
      <x:c r="A18" s="28" t="str">
        <x:v>Week 2</x:v>
      </x:c>
      <x:c r="B18" s="28" t="str">
        <x:v>Sprint 0</x:v>
      </x:c>
      <x:c r="C18" s="42" t="n">
        <x:v>46211</x:v>
      </x:c>
      <x:c r="D18" s="28" t="str">
        <x:v>Sales/Marketing/Presales</x:v>
      </x:c>
      <x:c r="E18" s="28" t="str">
        <x:v>Green</x:v>
      </x:c>
      <x:c r="F18" s="43" t="str"/>
      <x:c r="G18" s="28" t="str"/>
      <x:c r="H18" s="28" t="str"/>
      <x:c r="I18" s="28" t="str"/>
      <x:c r="J18" s="28" t="str"/>
      <x:c r="K18" s="28" t="str">
        <x:v>TBD</x:v>
      </x:c>
      <x:c r="L18" s="42" t="str"/>
      <x:c r="M18" s="28" t="str">
        <x:v>Open</x:v>
      </x:c>
      <x:c r="N18" s="28" t="str"/>
    </x:row>
    <x:row r="19">
      <x:c r="A19" s="28" t="str">
        <x:v>Week 3</x:v>
      </x:c>
      <x:c r="B19" s="28" t="str">
        <x:v>Sprint 1</x:v>
      </x:c>
      <x:c r="C19" s="42" t="n">
        <x:v>46218</x:v>
      </x:c>
      <x:c r="D19" s="28" t="str">
        <x:v>Product Owner</x:v>
      </x:c>
      <x:c r="E19" s="28" t="str">
        <x:v>Green</x:v>
      </x:c>
      <x:c r="F19" s="43" t="str"/>
      <x:c r="G19" s="28" t="str"/>
      <x:c r="H19" s="28" t="str"/>
      <x:c r="I19" s="28" t="str"/>
      <x:c r="J19" s="28" t="str"/>
      <x:c r="K19" s="28" t="str">
        <x:v>TBD</x:v>
      </x:c>
      <x:c r="L19" s="42" t="str"/>
      <x:c r="M19" s="28" t="str">
        <x:v>Open</x:v>
      </x:c>
      <x:c r="N19" s="28" t="str"/>
    </x:row>
    <x:row r="20">
      <x:c r="A20" s="28" t="str">
        <x:v>Week 3</x:v>
      </x:c>
      <x:c r="B20" s="28" t="str">
        <x:v>Sprint 1</x:v>
      </x:c>
      <x:c r="C20" s="42" t="n">
        <x:v>46218</x:v>
      </x:c>
      <x:c r="D20" s="28" t="str">
        <x:v>Solution Architect</x:v>
      </x:c>
      <x:c r="E20" s="28" t="str">
        <x:v>Green</x:v>
      </x:c>
      <x:c r="F20" s="43" t="str"/>
      <x:c r="G20" s="28" t="str"/>
      <x:c r="H20" s="28" t="str"/>
      <x:c r="I20" s="28" t="str"/>
      <x:c r="J20" s="28" t="str"/>
      <x:c r="K20" s="28" t="str">
        <x:v>TBD</x:v>
      </x:c>
      <x:c r="L20" s="42" t="str"/>
      <x:c r="M20" s="28" t="str">
        <x:v>Open</x:v>
      </x:c>
      <x:c r="N20" s="28" t="str"/>
    </x:row>
    <x:row r="21">
      <x:c r="A21" s="28" t="str">
        <x:v>Week 3</x:v>
      </x:c>
      <x:c r="B21" s="28" t="str">
        <x:v>Sprint 1</x:v>
      </x:c>
      <x:c r="C21" s="42" t="n">
        <x:v>46218</x:v>
      </x:c>
      <x:c r="D21" s="28" t="str">
        <x:v>Infra/OpenNebula Engineer</x:v>
      </x:c>
      <x:c r="E21" s="28" t="str">
        <x:v>Green</x:v>
      </x:c>
      <x:c r="F21" s="43" t="str"/>
      <x:c r="G21" s="28" t="str"/>
      <x:c r="H21" s="28" t="str"/>
      <x:c r="I21" s="28" t="str"/>
      <x:c r="J21" s="28" t="str"/>
      <x:c r="K21" s="28" t="str">
        <x:v>TBD</x:v>
      </x:c>
      <x:c r="L21" s="42" t="str"/>
      <x:c r="M21" s="28" t="str">
        <x:v>Open</x:v>
      </x:c>
      <x:c r="N21" s="28" t="str"/>
    </x:row>
    <x:row r="22">
      <x:c r="A22" s="28" t="str">
        <x:v>Week 3</x:v>
      </x:c>
      <x:c r="B22" s="28" t="str">
        <x:v>Sprint 1</x:v>
      </x:c>
      <x:c r="C22" s="42" t="n">
        <x:v>46218</x:v>
      </x:c>
      <x:c r="D22" s="28" t="str">
        <x:v>Backend Engineer</x:v>
      </x:c>
      <x:c r="E22" s="28" t="str">
        <x:v>Green</x:v>
      </x:c>
      <x:c r="F22" s="43" t="str"/>
      <x:c r="G22" s="28" t="str"/>
      <x:c r="H22" s="28" t="str"/>
      <x:c r="I22" s="28" t="str"/>
      <x:c r="J22" s="28" t="str"/>
      <x:c r="K22" s="28" t="str">
        <x:v>TBD</x:v>
      </x:c>
      <x:c r="L22" s="42" t="str"/>
      <x:c r="M22" s="28" t="str">
        <x:v>Open</x:v>
      </x:c>
      <x:c r="N22" s="28" t="str"/>
    </x:row>
    <x:row r="23">
      <x:c r="A23" s="28" t="str">
        <x:v>Week 3</x:v>
      </x:c>
      <x:c r="B23" s="28" t="str">
        <x:v>Sprint 1</x:v>
      </x:c>
      <x:c r="C23" s="42" t="n">
        <x:v>46218</x:v>
      </x:c>
      <x:c r="D23" s="28" t="str">
        <x:v>Frontend Engineer</x:v>
      </x:c>
      <x:c r="E23" s="28" t="str">
        <x:v>Green</x:v>
      </x:c>
      <x:c r="F23" s="43" t="str"/>
      <x:c r="G23" s="28" t="str"/>
      <x:c r="H23" s="28" t="str"/>
      <x:c r="I23" s="28" t="str"/>
      <x:c r="J23" s="28" t="str"/>
      <x:c r="K23" s="28" t="str">
        <x:v>TBD</x:v>
      </x:c>
      <x:c r="L23" s="42" t="str"/>
      <x:c r="M23" s="28" t="str">
        <x:v>Open</x:v>
      </x:c>
      <x:c r="N23" s="28" t="str"/>
    </x:row>
    <x:row r="24">
      <x:c r="A24" s="28" t="str">
        <x:v>Week 3</x:v>
      </x:c>
      <x:c r="B24" s="28" t="str">
        <x:v>Sprint 1</x:v>
      </x:c>
      <x:c r="C24" s="42" t="n">
        <x:v>46218</x:v>
      </x:c>
      <x:c r="D24" s="28" t="str">
        <x:v>QA/Tester</x:v>
      </x:c>
      <x:c r="E24" s="28" t="str">
        <x:v>Green</x:v>
      </x:c>
      <x:c r="F24" s="43" t="str"/>
      <x:c r="G24" s="28" t="str"/>
      <x:c r="H24" s="28" t="str"/>
      <x:c r="I24" s="28" t="str"/>
      <x:c r="J24" s="28" t="str"/>
      <x:c r="K24" s="28" t="str">
        <x:v>TBD</x:v>
      </x:c>
      <x:c r="L24" s="42" t="str"/>
      <x:c r="M24" s="28" t="str">
        <x:v>Open</x:v>
      </x:c>
      <x:c r="N24" s="28" t="str"/>
    </x:row>
    <x:row r="25">
      <x:c r="A25" s="28" t="str">
        <x:v>Week 3</x:v>
      </x:c>
      <x:c r="B25" s="28" t="str">
        <x:v>Sprint 1</x:v>
      </x:c>
      <x:c r="C25" s="42" t="n">
        <x:v>46218</x:v>
      </x:c>
      <x:c r="D25" s="28" t="str">
        <x:v>Technical Writer</x:v>
      </x:c>
      <x:c r="E25" s="28" t="str">
        <x:v>Green</x:v>
      </x:c>
      <x:c r="F25" s="43" t="str"/>
      <x:c r="G25" s="28" t="str"/>
      <x:c r="H25" s="28" t="str"/>
      <x:c r="I25" s="28" t="str"/>
      <x:c r="J25" s="28" t="str"/>
      <x:c r="K25" s="28" t="str">
        <x:v>TBD</x:v>
      </x:c>
      <x:c r="L25" s="42" t="str"/>
      <x:c r="M25" s="28" t="str">
        <x:v>Open</x:v>
      </x:c>
      <x:c r="N25" s="28" t="str"/>
    </x:row>
    <x:row r="26">
      <x:c r="A26" s="28" t="str">
        <x:v>Week 3</x:v>
      </x:c>
      <x:c r="B26" s="28" t="str">
        <x:v>Sprint 1</x:v>
      </x:c>
      <x:c r="C26" s="42" t="n">
        <x:v>46218</x:v>
      </x:c>
      <x:c r="D26" s="28" t="str">
        <x:v>Sales/Marketing/Presales</x:v>
      </x:c>
      <x:c r="E26" s="28" t="str">
        <x:v>Green</x:v>
      </x:c>
      <x:c r="F26" s="43" t="str"/>
      <x:c r="G26" s="28" t="str"/>
      <x:c r="H26" s="28" t="str"/>
      <x:c r="I26" s="28" t="str"/>
      <x:c r="J26" s="28" t="str"/>
      <x:c r="K26" s="28" t="str">
        <x:v>TBD</x:v>
      </x:c>
      <x:c r="L26" s="42" t="str"/>
      <x:c r="M26" s="28" t="str">
        <x:v>Open</x:v>
      </x:c>
      <x:c r="N26" s="28" t="str"/>
    </x:row>
    <x:row r="27">
      <x:c r="A27" s="28" t="str">
        <x:v>Week 4</x:v>
      </x:c>
      <x:c r="B27" s="28" t="str">
        <x:v>Sprint 1</x:v>
      </x:c>
      <x:c r="C27" s="42" t="n">
        <x:v>46225</x:v>
      </x:c>
      <x:c r="D27" s="28" t="str">
        <x:v>Product Owner</x:v>
      </x:c>
      <x:c r="E27" s="28" t="str">
        <x:v>Green</x:v>
      </x:c>
      <x:c r="F27" s="43" t="str"/>
      <x:c r="G27" s="28" t="str"/>
      <x:c r="H27" s="28" t="str"/>
      <x:c r="I27" s="28" t="str"/>
      <x:c r="J27" s="28" t="str"/>
      <x:c r="K27" s="28" t="str">
        <x:v>TBD</x:v>
      </x:c>
      <x:c r="L27" s="42" t="str"/>
      <x:c r="M27" s="28" t="str">
        <x:v>Open</x:v>
      </x:c>
      <x:c r="N27" s="28" t="str"/>
    </x:row>
    <x:row r="28">
      <x:c r="A28" s="28" t="str">
        <x:v>Week 4</x:v>
      </x:c>
      <x:c r="B28" s="28" t="str">
        <x:v>Sprint 1</x:v>
      </x:c>
      <x:c r="C28" s="42" t="n">
        <x:v>46225</x:v>
      </x:c>
      <x:c r="D28" s="28" t="str">
        <x:v>Solution Architect</x:v>
      </x:c>
      <x:c r="E28" s="28" t="str">
        <x:v>Green</x:v>
      </x:c>
      <x:c r="F28" s="43" t="str"/>
      <x:c r="G28" s="28" t="str"/>
      <x:c r="H28" s="28" t="str"/>
      <x:c r="I28" s="28" t="str"/>
      <x:c r="J28" s="28" t="str"/>
      <x:c r="K28" s="28" t="str">
        <x:v>TBD</x:v>
      </x:c>
      <x:c r="L28" s="42" t="str"/>
      <x:c r="M28" s="28" t="str">
        <x:v>Open</x:v>
      </x:c>
      <x:c r="N28" s="28" t="str"/>
    </x:row>
    <x:row r="29">
      <x:c r="A29" s="28" t="str">
        <x:v>Week 4</x:v>
      </x:c>
      <x:c r="B29" s="28" t="str">
        <x:v>Sprint 1</x:v>
      </x:c>
      <x:c r="C29" s="42" t="n">
        <x:v>46225</x:v>
      </x:c>
      <x:c r="D29" s="28" t="str">
        <x:v>Infra/OpenNebula Engineer</x:v>
      </x:c>
      <x:c r="E29" s="28" t="str">
        <x:v>Green</x:v>
      </x:c>
      <x:c r="F29" s="43" t="str"/>
      <x:c r="G29" s="28" t="str"/>
      <x:c r="H29" s="28" t="str"/>
      <x:c r="I29" s="28" t="str"/>
      <x:c r="J29" s="28" t="str"/>
      <x:c r="K29" s="28" t="str">
        <x:v>TBD</x:v>
      </x:c>
      <x:c r="L29" s="42" t="str"/>
      <x:c r="M29" s="28" t="str">
        <x:v>Open</x:v>
      </x:c>
      <x:c r="N29" s="28" t="str"/>
    </x:row>
    <x:row r="30">
      <x:c r="A30" s="28" t="str">
        <x:v>Week 4</x:v>
      </x:c>
      <x:c r="B30" s="28" t="str">
        <x:v>Sprint 1</x:v>
      </x:c>
      <x:c r="C30" s="42" t="n">
        <x:v>46225</x:v>
      </x:c>
      <x:c r="D30" s="28" t="str">
        <x:v>Backend Engineer</x:v>
      </x:c>
      <x:c r="E30" s="28" t="str">
        <x:v>Green</x:v>
      </x:c>
      <x:c r="F30" s="43" t="str"/>
      <x:c r="G30" s="28" t="str"/>
      <x:c r="H30" s="28" t="str"/>
      <x:c r="I30" s="28" t="str"/>
      <x:c r="J30" s="28" t="str"/>
      <x:c r="K30" s="28" t="str">
        <x:v>TBD</x:v>
      </x:c>
      <x:c r="L30" s="42" t="str"/>
      <x:c r="M30" s="28" t="str">
        <x:v>Open</x:v>
      </x:c>
      <x:c r="N30" s="28" t="str"/>
    </x:row>
    <x:row r="31">
      <x:c r="A31" s="28" t="str">
        <x:v>Week 4</x:v>
      </x:c>
      <x:c r="B31" s="28" t="str">
        <x:v>Sprint 1</x:v>
      </x:c>
      <x:c r="C31" s="42" t="n">
        <x:v>46225</x:v>
      </x:c>
      <x:c r="D31" s="28" t="str">
        <x:v>Frontend Engineer</x:v>
      </x:c>
      <x:c r="E31" s="28" t="str">
        <x:v>Green</x:v>
      </x:c>
      <x:c r="F31" s="43" t="str"/>
      <x:c r="G31" s="28" t="str"/>
      <x:c r="H31" s="28" t="str"/>
      <x:c r="I31" s="28" t="str"/>
      <x:c r="J31" s="28" t="str"/>
      <x:c r="K31" s="28" t="str">
        <x:v>TBD</x:v>
      </x:c>
      <x:c r="L31" s="42" t="str"/>
      <x:c r="M31" s="28" t="str">
        <x:v>Open</x:v>
      </x:c>
      <x:c r="N31" s="28" t="str"/>
    </x:row>
    <x:row r="32">
      <x:c r="A32" s="28" t="str">
        <x:v>Week 4</x:v>
      </x:c>
      <x:c r="B32" s="28" t="str">
        <x:v>Sprint 1</x:v>
      </x:c>
      <x:c r="C32" s="42" t="n">
        <x:v>46225</x:v>
      </x:c>
      <x:c r="D32" s="28" t="str">
        <x:v>QA/Tester</x:v>
      </x:c>
      <x:c r="E32" s="28" t="str">
        <x:v>Green</x:v>
      </x:c>
      <x:c r="F32" s="43" t="str"/>
      <x:c r="G32" s="28" t="str"/>
      <x:c r="H32" s="28" t="str"/>
      <x:c r="I32" s="28" t="str"/>
      <x:c r="J32" s="28" t="str"/>
      <x:c r="K32" s="28" t="str">
        <x:v>TBD</x:v>
      </x:c>
      <x:c r="L32" s="42" t="str"/>
      <x:c r="M32" s="28" t="str">
        <x:v>Open</x:v>
      </x:c>
      <x:c r="N32" s="28" t="str"/>
    </x:row>
    <x:row r="33">
      <x:c r="A33" s="28" t="str">
        <x:v>Week 4</x:v>
      </x:c>
      <x:c r="B33" s="28" t="str">
        <x:v>Sprint 1</x:v>
      </x:c>
      <x:c r="C33" s="42" t="n">
        <x:v>46225</x:v>
      </x:c>
      <x:c r="D33" s="28" t="str">
        <x:v>Technical Writer</x:v>
      </x:c>
      <x:c r="E33" s="28" t="str">
        <x:v>Green</x:v>
      </x:c>
      <x:c r="F33" s="43" t="str"/>
      <x:c r="G33" s="28" t="str"/>
      <x:c r="H33" s="28" t="str"/>
      <x:c r="I33" s="28" t="str"/>
      <x:c r="J33" s="28" t="str"/>
      <x:c r="K33" s="28" t="str">
        <x:v>TBD</x:v>
      </x:c>
      <x:c r="L33" s="42" t="str"/>
      <x:c r="M33" s="28" t="str">
        <x:v>Open</x:v>
      </x:c>
      <x:c r="N33" s="28" t="str"/>
    </x:row>
    <x:row r="34">
      <x:c r="A34" s="28" t="str">
        <x:v>Week 4</x:v>
      </x:c>
      <x:c r="B34" s="28" t="str">
        <x:v>Sprint 1</x:v>
      </x:c>
      <x:c r="C34" s="42" t="n">
        <x:v>46225</x:v>
      </x:c>
      <x:c r="D34" s="28" t="str">
        <x:v>Sales/Marketing/Presales</x:v>
      </x:c>
      <x:c r="E34" s="28" t="str">
        <x:v>Green</x:v>
      </x:c>
      <x:c r="F34" s="43" t="str"/>
      <x:c r="G34" s="28" t="str"/>
      <x:c r="H34" s="28" t="str"/>
      <x:c r="I34" s="28" t="str"/>
      <x:c r="J34" s="28" t="str"/>
      <x:c r="K34" s="28" t="str">
        <x:v>TBD</x:v>
      </x:c>
      <x:c r="L34" s="42" t="str"/>
      <x:c r="M34" s="28" t="str">
        <x:v>Open</x:v>
      </x:c>
      <x:c r="N34" s="28" t="str"/>
    </x:row>
    <x:row r="35">
      <x:c r="A35" s="28" t="str">
        <x:v>Week 5</x:v>
      </x:c>
      <x:c r="B35" s="28" t="str">
        <x:v>Sprint 2</x:v>
      </x:c>
      <x:c r="C35" s="42" t="n">
        <x:v>46232</x:v>
      </x:c>
      <x:c r="D35" s="28" t="str">
        <x:v>Product Owner</x:v>
      </x:c>
      <x:c r="E35" s="28" t="str">
        <x:v>Green</x:v>
      </x:c>
      <x:c r="F35" s="43" t="str"/>
      <x:c r="G35" s="28" t="str"/>
      <x:c r="H35" s="28" t="str"/>
      <x:c r="I35" s="28" t="str"/>
      <x:c r="J35" s="28" t="str"/>
      <x:c r="K35" s="28" t="str">
        <x:v>TBD</x:v>
      </x:c>
      <x:c r="L35" s="42" t="str"/>
      <x:c r="M35" s="28" t="str">
        <x:v>Open</x:v>
      </x:c>
      <x:c r="N35" s="28" t="str"/>
    </x:row>
    <x:row r="36">
      <x:c r="A36" s="28" t="str">
        <x:v>Week 5</x:v>
      </x:c>
      <x:c r="B36" s="28" t="str">
        <x:v>Sprint 2</x:v>
      </x:c>
      <x:c r="C36" s="42" t="n">
        <x:v>46232</x:v>
      </x:c>
      <x:c r="D36" s="28" t="str">
        <x:v>Solution Architect</x:v>
      </x:c>
      <x:c r="E36" s="28" t="str">
        <x:v>Green</x:v>
      </x:c>
      <x:c r="F36" s="43" t="str"/>
      <x:c r="G36" s="28" t="str"/>
      <x:c r="H36" s="28" t="str"/>
      <x:c r="I36" s="28" t="str"/>
      <x:c r="J36" s="28" t="str"/>
      <x:c r="K36" s="28" t="str">
        <x:v>TBD</x:v>
      </x:c>
      <x:c r="L36" s="42" t="str"/>
      <x:c r="M36" s="28" t="str">
        <x:v>Open</x:v>
      </x:c>
      <x:c r="N36" s="28" t="str"/>
    </x:row>
    <x:row r="37">
      <x:c r="A37" s="28" t="str">
        <x:v>Week 5</x:v>
      </x:c>
      <x:c r="B37" s="28" t="str">
        <x:v>Sprint 2</x:v>
      </x:c>
      <x:c r="C37" s="42" t="n">
        <x:v>46232</x:v>
      </x:c>
      <x:c r="D37" s="28" t="str">
        <x:v>Infra/OpenNebula Engineer</x:v>
      </x:c>
      <x:c r="E37" s="28" t="str">
        <x:v>Green</x:v>
      </x:c>
      <x:c r="F37" s="43" t="str"/>
      <x:c r="G37" s="28" t="str"/>
      <x:c r="H37" s="28" t="str"/>
      <x:c r="I37" s="28" t="str"/>
      <x:c r="J37" s="28" t="str"/>
      <x:c r="K37" s="28" t="str">
        <x:v>TBD</x:v>
      </x:c>
      <x:c r="L37" s="42" t="str"/>
      <x:c r="M37" s="28" t="str">
        <x:v>Open</x:v>
      </x:c>
      <x:c r="N37" s="28" t="str"/>
    </x:row>
    <x:row r="38">
      <x:c r="A38" s="28" t="str">
        <x:v>Week 5</x:v>
      </x:c>
      <x:c r="B38" s="28" t="str">
        <x:v>Sprint 2</x:v>
      </x:c>
      <x:c r="C38" s="42" t="n">
        <x:v>46232</x:v>
      </x:c>
      <x:c r="D38" s="28" t="str">
        <x:v>Backend Engineer</x:v>
      </x:c>
      <x:c r="E38" s="28" t="str">
        <x:v>Green</x:v>
      </x:c>
      <x:c r="F38" s="43" t="str"/>
      <x:c r="G38" s="28" t="str"/>
      <x:c r="H38" s="28" t="str"/>
      <x:c r="I38" s="28" t="str"/>
      <x:c r="J38" s="28" t="str"/>
      <x:c r="K38" s="28" t="str">
        <x:v>TBD</x:v>
      </x:c>
      <x:c r="L38" s="42" t="str"/>
      <x:c r="M38" s="28" t="str">
        <x:v>Open</x:v>
      </x:c>
      <x:c r="N38" s="28" t="str"/>
    </x:row>
    <x:row r="39">
      <x:c r="A39" s="28" t="str">
        <x:v>Week 5</x:v>
      </x:c>
      <x:c r="B39" s="28" t="str">
        <x:v>Sprint 2</x:v>
      </x:c>
      <x:c r="C39" s="42" t="n">
        <x:v>46232</x:v>
      </x:c>
      <x:c r="D39" s="28" t="str">
        <x:v>Frontend Engineer</x:v>
      </x:c>
      <x:c r="E39" s="28" t="str">
        <x:v>Green</x:v>
      </x:c>
      <x:c r="F39" s="43" t="str"/>
      <x:c r="G39" s="28" t="str"/>
      <x:c r="H39" s="28" t="str"/>
      <x:c r="I39" s="28" t="str"/>
      <x:c r="J39" s="28" t="str"/>
      <x:c r="K39" s="28" t="str">
        <x:v>TBD</x:v>
      </x:c>
      <x:c r="L39" s="42" t="str"/>
      <x:c r="M39" s="28" t="str">
        <x:v>Open</x:v>
      </x:c>
      <x:c r="N39" s="28" t="str"/>
    </x:row>
    <x:row r="40">
      <x:c r="A40" s="28" t="str">
        <x:v>Week 5</x:v>
      </x:c>
      <x:c r="B40" s="28" t="str">
        <x:v>Sprint 2</x:v>
      </x:c>
      <x:c r="C40" s="42" t="n">
        <x:v>46232</x:v>
      </x:c>
      <x:c r="D40" s="28" t="str">
        <x:v>QA/Tester</x:v>
      </x:c>
      <x:c r="E40" s="28" t="str">
        <x:v>Green</x:v>
      </x:c>
      <x:c r="F40" s="43" t="str"/>
      <x:c r="G40" s="28" t="str"/>
      <x:c r="H40" s="28" t="str"/>
      <x:c r="I40" s="28" t="str"/>
      <x:c r="J40" s="28" t="str"/>
      <x:c r="K40" s="28" t="str">
        <x:v>TBD</x:v>
      </x:c>
      <x:c r="L40" s="42" t="str"/>
      <x:c r="M40" s="28" t="str">
        <x:v>Open</x:v>
      </x:c>
      <x:c r="N40" s="28" t="str"/>
    </x:row>
    <x:row r="41">
      <x:c r="A41" s="28" t="str">
        <x:v>Week 5</x:v>
      </x:c>
      <x:c r="B41" s="28" t="str">
        <x:v>Sprint 2</x:v>
      </x:c>
      <x:c r="C41" s="42" t="n">
        <x:v>46232</x:v>
      </x:c>
      <x:c r="D41" s="28" t="str">
        <x:v>Technical Writer</x:v>
      </x:c>
      <x:c r="E41" s="28" t="str">
        <x:v>Green</x:v>
      </x:c>
      <x:c r="F41" s="43" t="str"/>
      <x:c r="G41" s="28" t="str"/>
      <x:c r="H41" s="28" t="str"/>
      <x:c r="I41" s="28" t="str"/>
      <x:c r="J41" s="28" t="str"/>
      <x:c r="K41" s="28" t="str">
        <x:v>TBD</x:v>
      </x:c>
      <x:c r="L41" s="42" t="str"/>
      <x:c r="M41" s="28" t="str">
        <x:v>Open</x:v>
      </x:c>
      <x:c r="N41" s="28" t="str"/>
    </x:row>
    <x:row r="42">
      <x:c r="A42" s="28" t="str">
        <x:v>Week 5</x:v>
      </x:c>
      <x:c r="B42" s="28" t="str">
        <x:v>Sprint 2</x:v>
      </x:c>
      <x:c r="C42" s="42" t="n">
        <x:v>46232</x:v>
      </x:c>
      <x:c r="D42" s="28" t="str">
        <x:v>Sales/Marketing/Presales</x:v>
      </x:c>
      <x:c r="E42" s="28" t="str">
        <x:v>Green</x:v>
      </x:c>
      <x:c r="F42" s="43" t="str"/>
      <x:c r="G42" s="28" t="str"/>
      <x:c r="H42" s="28" t="str"/>
      <x:c r="I42" s="28" t="str"/>
      <x:c r="J42" s="28" t="str"/>
      <x:c r="K42" s="28" t="str">
        <x:v>TBD</x:v>
      </x:c>
      <x:c r="L42" s="42" t="str"/>
      <x:c r="M42" s="28" t="str">
        <x:v>Open</x:v>
      </x:c>
      <x:c r="N42" s="28" t="str"/>
    </x:row>
    <x:row r="43">
      <x:c r="A43" s="28" t="str">
        <x:v>Week 6</x:v>
      </x:c>
      <x:c r="B43" s="28" t="str">
        <x:v>Sprint 2</x:v>
      </x:c>
      <x:c r="C43" s="42" t="n">
        <x:v>46239</x:v>
      </x:c>
      <x:c r="D43" s="28" t="str">
        <x:v>Product Owner</x:v>
      </x:c>
      <x:c r="E43" s="28" t="str">
        <x:v>Green</x:v>
      </x:c>
      <x:c r="F43" s="43" t="str"/>
      <x:c r="G43" s="28" t="str"/>
      <x:c r="H43" s="28" t="str"/>
      <x:c r="I43" s="28" t="str"/>
      <x:c r="J43" s="28" t="str"/>
      <x:c r="K43" s="28" t="str">
        <x:v>TBD</x:v>
      </x:c>
      <x:c r="L43" s="42" t="str"/>
      <x:c r="M43" s="28" t="str">
        <x:v>Open</x:v>
      </x:c>
      <x:c r="N43" s="28" t="str"/>
    </x:row>
    <x:row r="44">
      <x:c r="A44" s="28" t="str">
        <x:v>Week 6</x:v>
      </x:c>
      <x:c r="B44" s="28" t="str">
        <x:v>Sprint 2</x:v>
      </x:c>
      <x:c r="C44" s="42" t="n">
        <x:v>46239</x:v>
      </x:c>
      <x:c r="D44" s="28" t="str">
        <x:v>Solution Architect</x:v>
      </x:c>
      <x:c r="E44" s="28" t="str">
        <x:v>Green</x:v>
      </x:c>
      <x:c r="F44" s="43" t="str"/>
      <x:c r="G44" s="28" t="str"/>
      <x:c r="H44" s="28" t="str"/>
      <x:c r="I44" s="28" t="str"/>
      <x:c r="J44" s="28" t="str"/>
      <x:c r="K44" s="28" t="str">
        <x:v>TBD</x:v>
      </x:c>
      <x:c r="L44" s="42" t="str"/>
      <x:c r="M44" s="28" t="str">
        <x:v>Open</x:v>
      </x:c>
      <x:c r="N44" s="28" t="str"/>
    </x:row>
    <x:row r="45">
      <x:c r="A45" s="28" t="str">
        <x:v>Week 6</x:v>
      </x:c>
      <x:c r="B45" s="28" t="str">
        <x:v>Sprint 2</x:v>
      </x:c>
      <x:c r="C45" s="42" t="n">
        <x:v>46239</x:v>
      </x:c>
      <x:c r="D45" s="28" t="str">
        <x:v>Infra/OpenNebula Engineer</x:v>
      </x:c>
      <x:c r="E45" s="28" t="str">
        <x:v>Green</x:v>
      </x:c>
      <x:c r="F45" s="43" t="str"/>
      <x:c r="G45" s="28" t="str"/>
      <x:c r="H45" s="28" t="str"/>
      <x:c r="I45" s="28" t="str"/>
      <x:c r="J45" s="28" t="str"/>
      <x:c r="K45" s="28" t="str">
        <x:v>TBD</x:v>
      </x:c>
      <x:c r="L45" s="42" t="str"/>
      <x:c r="M45" s="28" t="str">
        <x:v>Open</x:v>
      </x:c>
      <x:c r="N45" s="28" t="str"/>
    </x:row>
    <x:row r="46">
      <x:c r="A46" s="28" t="str">
        <x:v>Week 6</x:v>
      </x:c>
      <x:c r="B46" s="28" t="str">
        <x:v>Sprint 2</x:v>
      </x:c>
      <x:c r="C46" s="42" t="n">
        <x:v>46239</x:v>
      </x:c>
      <x:c r="D46" s="28" t="str">
        <x:v>Backend Engineer</x:v>
      </x:c>
      <x:c r="E46" s="28" t="str">
        <x:v>Green</x:v>
      </x:c>
      <x:c r="F46" s="43" t="str"/>
      <x:c r="G46" s="28" t="str"/>
      <x:c r="H46" s="28" t="str"/>
      <x:c r="I46" s="28" t="str"/>
      <x:c r="J46" s="28" t="str"/>
      <x:c r="K46" s="28" t="str">
        <x:v>TBD</x:v>
      </x:c>
      <x:c r="L46" s="42" t="str"/>
      <x:c r="M46" s="28" t="str">
        <x:v>Open</x:v>
      </x:c>
      <x:c r="N46" s="28" t="str"/>
    </x:row>
    <x:row r="47">
      <x:c r="A47" s="28" t="str">
        <x:v>Week 6</x:v>
      </x:c>
      <x:c r="B47" s="28" t="str">
        <x:v>Sprint 2</x:v>
      </x:c>
      <x:c r="C47" s="42" t="n">
        <x:v>46239</x:v>
      </x:c>
      <x:c r="D47" s="28" t="str">
        <x:v>Frontend Engineer</x:v>
      </x:c>
      <x:c r="E47" s="28" t="str">
        <x:v>Green</x:v>
      </x:c>
      <x:c r="F47" s="43" t="str"/>
      <x:c r="G47" s="28" t="str"/>
      <x:c r="H47" s="28" t="str"/>
      <x:c r="I47" s="28" t="str"/>
      <x:c r="J47" s="28" t="str"/>
      <x:c r="K47" s="28" t="str">
        <x:v>TBD</x:v>
      </x:c>
      <x:c r="L47" s="42" t="str"/>
      <x:c r="M47" s="28" t="str">
        <x:v>Open</x:v>
      </x:c>
      <x:c r="N47" s="28" t="str"/>
    </x:row>
    <x:row r="48">
      <x:c r="A48" s="28" t="str">
        <x:v>Week 6</x:v>
      </x:c>
      <x:c r="B48" s="28" t="str">
        <x:v>Sprint 2</x:v>
      </x:c>
      <x:c r="C48" s="42" t="n">
        <x:v>46239</x:v>
      </x:c>
      <x:c r="D48" s="28" t="str">
        <x:v>QA/Tester</x:v>
      </x:c>
      <x:c r="E48" s="28" t="str">
        <x:v>Green</x:v>
      </x:c>
      <x:c r="F48" s="43" t="str"/>
      <x:c r="G48" s="28" t="str"/>
      <x:c r="H48" s="28" t="str"/>
      <x:c r="I48" s="28" t="str"/>
      <x:c r="J48" s="28" t="str"/>
      <x:c r="K48" s="28" t="str">
        <x:v>TBD</x:v>
      </x:c>
      <x:c r="L48" s="42" t="str"/>
      <x:c r="M48" s="28" t="str">
        <x:v>Open</x:v>
      </x:c>
      <x:c r="N48" s="28" t="str"/>
    </x:row>
    <x:row r="49">
      <x:c r="A49" s="28" t="str">
        <x:v>Week 6</x:v>
      </x:c>
      <x:c r="B49" s="28" t="str">
        <x:v>Sprint 2</x:v>
      </x:c>
      <x:c r="C49" s="42" t="n">
        <x:v>46239</x:v>
      </x:c>
      <x:c r="D49" s="28" t="str">
        <x:v>Technical Writer</x:v>
      </x:c>
      <x:c r="E49" s="28" t="str">
        <x:v>Green</x:v>
      </x:c>
      <x:c r="F49" s="43" t="str"/>
      <x:c r="G49" s="28" t="str"/>
      <x:c r="H49" s="28" t="str"/>
      <x:c r="I49" s="28" t="str"/>
      <x:c r="J49" s="28" t="str"/>
      <x:c r="K49" s="28" t="str">
        <x:v>TBD</x:v>
      </x:c>
      <x:c r="L49" s="42" t="str"/>
      <x:c r="M49" s="28" t="str">
        <x:v>Open</x:v>
      </x:c>
      <x:c r="N49" s="28" t="str"/>
    </x:row>
    <x:row r="50">
      <x:c r="A50" s="28" t="str">
        <x:v>Week 6</x:v>
      </x:c>
      <x:c r="B50" s="28" t="str">
        <x:v>Sprint 2</x:v>
      </x:c>
      <x:c r="C50" s="42" t="n">
        <x:v>46239</x:v>
      </x:c>
      <x:c r="D50" s="28" t="str">
        <x:v>Sales/Marketing/Presales</x:v>
      </x:c>
      <x:c r="E50" s="28" t="str">
        <x:v>Green</x:v>
      </x:c>
      <x:c r="F50" s="43" t="str"/>
      <x:c r="G50" s="28" t="str"/>
      <x:c r="H50" s="28" t="str"/>
      <x:c r="I50" s="28" t="str"/>
      <x:c r="J50" s="28" t="str"/>
      <x:c r="K50" s="28" t="str">
        <x:v>TBD</x:v>
      </x:c>
      <x:c r="L50" s="42" t="str"/>
      <x:c r="M50" s="28" t="str">
        <x:v>Open</x:v>
      </x:c>
      <x:c r="N50" s="28" t="str"/>
    </x:row>
    <x:row r="51">
      <x:c r="A51" s="28" t="str">
        <x:v>Week 7</x:v>
      </x:c>
      <x:c r="B51" s="28" t="str">
        <x:v>Sprint 3</x:v>
      </x:c>
      <x:c r="C51" s="42" t="n">
        <x:v>46246</x:v>
      </x:c>
      <x:c r="D51" s="28" t="str">
        <x:v>Product Owner</x:v>
      </x:c>
      <x:c r="E51" s="28" t="str">
        <x:v>Green</x:v>
      </x:c>
      <x:c r="F51" s="43" t="str"/>
      <x:c r="G51" s="28" t="str"/>
      <x:c r="H51" s="28" t="str"/>
      <x:c r="I51" s="28" t="str"/>
      <x:c r="J51" s="28" t="str"/>
      <x:c r="K51" s="28" t="str">
        <x:v>TBD</x:v>
      </x:c>
      <x:c r="L51" s="42" t="str"/>
      <x:c r="M51" s="28" t="str">
        <x:v>Open</x:v>
      </x:c>
      <x:c r="N51" s="28" t="str"/>
    </x:row>
    <x:row r="52">
      <x:c r="A52" s="28" t="str">
        <x:v>Week 7</x:v>
      </x:c>
      <x:c r="B52" s="28" t="str">
        <x:v>Sprint 3</x:v>
      </x:c>
      <x:c r="C52" s="42" t="n">
        <x:v>46246</x:v>
      </x:c>
      <x:c r="D52" s="28" t="str">
        <x:v>Solution Architect</x:v>
      </x:c>
      <x:c r="E52" s="28" t="str">
        <x:v>Green</x:v>
      </x:c>
      <x:c r="F52" s="43" t="str"/>
      <x:c r="G52" s="28" t="str"/>
      <x:c r="H52" s="28" t="str"/>
      <x:c r="I52" s="28" t="str"/>
      <x:c r="J52" s="28" t="str"/>
      <x:c r="K52" s="28" t="str">
        <x:v>TBD</x:v>
      </x:c>
      <x:c r="L52" s="42" t="str"/>
      <x:c r="M52" s="28" t="str">
        <x:v>Open</x:v>
      </x:c>
      <x:c r="N52" s="28" t="str"/>
    </x:row>
    <x:row r="53">
      <x:c r="A53" s="28" t="str">
        <x:v>Week 7</x:v>
      </x:c>
      <x:c r="B53" s="28" t="str">
        <x:v>Sprint 3</x:v>
      </x:c>
      <x:c r="C53" s="42" t="n">
        <x:v>46246</x:v>
      </x:c>
      <x:c r="D53" s="28" t="str">
        <x:v>Infra/OpenNebula Engineer</x:v>
      </x:c>
      <x:c r="E53" s="28" t="str">
        <x:v>Green</x:v>
      </x:c>
      <x:c r="F53" s="43" t="str"/>
      <x:c r="G53" s="28" t="str"/>
      <x:c r="H53" s="28" t="str"/>
      <x:c r="I53" s="28" t="str"/>
      <x:c r="J53" s="28" t="str"/>
      <x:c r="K53" s="28" t="str">
        <x:v>TBD</x:v>
      </x:c>
      <x:c r="L53" s="42" t="str"/>
      <x:c r="M53" s="28" t="str">
        <x:v>Open</x:v>
      </x:c>
      <x:c r="N53" s="28" t="str"/>
    </x:row>
    <x:row r="54">
      <x:c r="A54" s="28" t="str">
        <x:v>Week 7</x:v>
      </x:c>
      <x:c r="B54" s="28" t="str">
        <x:v>Sprint 3</x:v>
      </x:c>
      <x:c r="C54" s="42" t="n">
        <x:v>46246</x:v>
      </x:c>
      <x:c r="D54" s="28" t="str">
        <x:v>Backend Engineer</x:v>
      </x:c>
      <x:c r="E54" s="28" t="str">
        <x:v>Green</x:v>
      </x:c>
      <x:c r="F54" s="43" t="str"/>
      <x:c r="G54" s="28" t="str"/>
      <x:c r="H54" s="28" t="str"/>
      <x:c r="I54" s="28" t="str"/>
      <x:c r="J54" s="28" t="str"/>
      <x:c r="K54" s="28" t="str">
        <x:v>TBD</x:v>
      </x:c>
      <x:c r="L54" s="42" t="str"/>
      <x:c r="M54" s="28" t="str">
        <x:v>Open</x:v>
      </x:c>
      <x:c r="N54" s="28" t="str"/>
    </x:row>
    <x:row r="55">
      <x:c r="A55" s="28" t="str">
        <x:v>Week 7</x:v>
      </x:c>
      <x:c r="B55" s="28" t="str">
        <x:v>Sprint 3</x:v>
      </x:c>
      <x:c r="C55" s="42" t="n">
        <x:v>46246</x:v>
      </x:c>
      <x:c r="D55" s="28" t="str">
        <x:v>Frontend Engineer</x:v>
      </x:c>
      <x:c r="E55" s="28" t="str">
        <x:v>Green</x:v>
      </x:c>
      <x:c r="F55" s="43" t="str"/>
      <x:c r="G55" s="28" t="str"/>
      <x:c r="H55" s="28" t="str"/>
      <x:c r="I55" s="28" t="str"/>
      <x:c r="J55" s="28" t="str"/>
      <x:c r="K55" s="28" t="str">
        <x:v>TBD</x:v>
      </x:c>
      <x:c r="L55" s="42" t="str"/>
      <x:c r="M55" s="28" t="str">
        <x:v>Open</x:v>
      </x:c>
      <x:c r="N55" s="28" t="str"/>
    </x:row>
    <x:row r="56">
      <x:c r="A56" s="28" t="str">
        <x:v>Week 7</x:v>
      </x:c>
      <x:c r="B56" s="28" t="str">
        <x:v>Sprint 3</x:v>
      </x:c>
      <x:c r="C56" s="42" t="n">
        <x:v>46246</x:v>
      </x:c>
      <x:c r="D56" s="28" t="str">
        <x:v>QA/Tester</x:v>
      </x:c>
      <x:c r="E56" s="28" t="str">
        <x:v>Green</x:v>
      </x:c>
      <x:c r="F56" s="43" t="str"/>
      <x:c r="G56" s="28" t="str"/>
      <x:c r="H56" s="28" t="str"/>
      <x:c r="I56" s="28" t="str"/>
      <x:c r="J56" s="28" t="str"/>
      <x:c r="K56" s="28" t="str">
        <x:v>TBD</x:v>
      </x:c>
      <x:c r="L56" s="42" t="str"/>
      <x:c r="M56" s="28" t="str">
        <x:v>Open</x:v>
      </x:c>
      <x:c r="N56" s="28" t="str"/>
    </x:row>
    <x:row r="57">
      <x:c r="A57" s="28" t="str">
        <x:v>Week 7</x:v>
      </x:c>
      <x:c r="B57" s="28" t="str">
        <x:v>Sprint 3</x:v>
      </x:c>
      <x:c r="C57" s="42" t="n">
        <x:v>46246</x:v>
      </x:c>
      <x:c r="D57" s="28" t="str">
        <x:v>Technical Writer</x:v>
      </x:c>
      <x:c r="E57" s="28" t="str">
        <x:v>Green</x:v>
      </x:c>
      <x:c r="F57" s="43" t="str"/>
      <x:c r="G57" s="28" t="str"/>
      <x:c r="H57" s="28" t="str"/>
      <x:c r="I57" s="28" t="str"/>
      <x:c r="J57" s="28" t="str"/>
      <x:c r="K57" s="28" t="str">
        <x:v>TBD</x:v>
      </x:c>
      <x:c r="L57" s="42" t="str"/>
      <x:c r="M57" s="28" t="str">
        <x:v>Open</x:v>
      </x:c>
      <x:c r="N57" s="28" t="str"/>
    </x:row>
    <x:row r="58">
      <x:c r="A58" s="28" t="str">
        <x:v>Week 7</x:v>
      </x:c>
      <x:c r="B58" s="28" t="str">
        <x:v>Sprint 3</x:v>
      </x:c>
      <x:c r="C58" s="42" t="n">
        <x:v>46246</x:v>
      </x:c>
      <x:c r="D58" s="28" t="str">
        <x:v>Sales/Marketing/Presales</x:v>
      </x:c>
      <x:c r="E58" s="28" t="str">
        <x:v>Green</x:v>
      </x:c>
      <x:c r="F58" s="43" t="str"/>
      <x:c r="G58" s="28" t="str"/>
      <x:c r="H58" s="28" t="str"/>
      <x:c r="I58" s="28" t="str"/>
      <x:c r="J58" s="28" t="str"/>
      <x:c r="K58" s="28" t="str">
        <x:v>TBD</x:v>
      </x:c>
      <x:c r="L58" s="42" t="str"/>
      <x:c r="M58" s="28" t="str">
        <x:v>Open</x:v>
      </x:c>
      <x:c r="N58" s="28" t="str"/>
    </x:row>
    <x:row r="59">
      <x:c r="A59" s="28" t="str">
        <x:v>Week 8</x:v>
      </x:c>
      <x:c r="B59" s="28" t="str">
        <x:v>Sprint 3</x:v>
      </x:c>
      <x:c r="C59" s="42" t="n">
        <x:v>46253</x:v>
      </x:c>
      <x:c r="D59" s="28" t="str">
        <x:v>Product Owner</x:v>
      </x:c>
      <x:c r="E59" s="28" t="str">
        <x:v>Green</x:v>
      </x:c>
      <x:c r="F59" s="43" t="str"/>
      <x:c r="G59" s="28" t="str"/>
      <x:c r="H59" s="28" t="str"/>
      <x:c r="I59" s="28" t="str"/>
      <x:c r="J59" s="28" t="str"/>
      <x:c r="K59" s="28" t="str">
        <x:v>TBD</x:v>
      </x:c>
      <x:c r="L59" s="42" t="str"/>
      <x:c r="M59" s="28" t="str">
        <x:v>Open</x:v>
      </x:c>
      <x:c r="N59" s="28" t="str"/>
    </x:row>
    <x:row r="60">
      <x:c r="A60" s="28" t="str">
        <x:v>Week 8</x:v>
      </x:c>
      <x:c r="B60" s="28" t="str">
        <x:v>Sprint 3</x:v>
      </x:c>
      <x:c r="C60" s="42" t="n">
        <x:v>46253</x:v>
      </x:c>
      <x:c r="D60" s="28" t="str">
        <x:v>Solution Architect</x:v>
      </x:c>
      <x:c r="E60" s="28" t="str">
        <x:v>Green</x:v>
      </x:c>
      <x:c r="F60" s="43" t="str"/>
      <x:c r="G60" s="28" t="str"/>
      <x:c r="H60" s="28" t="str"/>
      <x:c r="I60" s="28" t="str"/>
      <x:c r="J60" s="28" t="str"/>
      <x:c r="K60" s="28" t="str">
        <x:v>TBD</x:v>
      </x:c>
      <x:c r="L60" s="42" t="str"/>
      <x:c r="M60" s="28" t="str">
        <x:v>Open</x:v>
      </x:c>
      <x:c r="N60" s="28" t="str"/>
    </x:row>
    <x:row r="61">
      <x:c r="A61" s="28" t="str">
        <x:v>Week 8</x:v>
      </x:c>
      <x:c r="B61" s="28" t="str">
        <x:v>Sprint 3</x:v>
      </x:c>
      <x:c r="C61" s="42" t="n">
        <x:v>46253</x:v>
      </x:c>
      <x:c r="D61" s="28" t="str">
        <x:v>Infra/OpenNebula Engineer</x:v>
      </x:c>
      <x:c r="E61" s="28" t="str">
        <x:v>Green</x:v>
      </x:c>
      <x:c r="F61" s="43" t="str"/>
      <x:c r="G61" s="28" t="str"/>
      <x:c r="H61" s="28" t="str"/>
      <x:c r="I61" s="28" t="str"/>
      <x:c r="J61" s="28" t="str"/>
      <x:c r="K61" s="28" t="str">
        <x:v>TBD</x:v>
      </x:c>
      <x:c r="L61" s="42" t="str"/>
      <x:c r="M61" s="28" t="str">
        <x:v>Open</x:v>
      </x:c>
      <x:c r="N61" s="28" t="str"/>
    </x:row>
    <x:row r="62">
      <x:c r="A62" s="28" t="str">
        <x:v>Week 8</x:v>
      </x:c>
      <x:c r="B62" s="28" t="str">
        <x:v>Sprint 3</x:v>
      </x:c>
      <x:c r="C62" s="42" t="n">
        <x:v>46253</x:v>
      </x:c>
      <x:c r="D62" s="28" t="str">
        <x:v>Backend Engineer</x:v>
      </x:c>
      <x:c r="E62" s="28" t="str">
        <x:v>Green</x:v>
      </x:c>
      <x:c r="F62" s="43" t="str"/>
      <x:c r="G62" s="28" t="str"/>
      <x:c r="H62" s="28" t="str"/>
      <x:c r="I62" s="28" t="str"/>
      <x:c r="J62" s="28" t="str"/>
      <x:c r="K62" s="28" t="str">
        <x:v>TBD</x:v>
      </x:c>
      <x:c r="L62" s="42" t="str"/>
      <x:c r="M62" s="28" t="str">
        <x:v>Open</x:v>
      </x:c>
      <x:c r="N62" s="28" t="str"/>
    </x:row>
    <x:row r="63">
      <x:c r="A63" s="28" t="str">
        <x:v>Week 8</x:v>
      </x:c>
      <x:c r="B63" s="28" t="str">
        <x:v>Sprint 3</x:v>
      </x:c>
      <x:c r="C63" s="42" t="n">
        <x:v>46253</x:v>
      </x:c>
      <x:c r="D63" s="28" t="str">
        <x:v>Frontend Engineer</x:v>
      </x:c>
      <x:c r="E63" s="28" t="str">
        <x:v>Green</x:v>
      </x:c>
      <x:c r="F63" s="43" t="str"/>
      <x:c r="G63" s="28" t="str"/>
      <x:c r="H63" s="28" t="str"/>
      <x:c r="I63" s="28" t="str"/>
      <x:c r="J63" s="28" t="str"/>
      <x:c r="K63" s="28" t="str">
        <x:v>TBD</x:v>
      </x:c>
      <x:c r="L63" s="42" t="str"/>
      <x:c r="M63" s="28" t="str">
        <x:v>Open</x:v>
      </x:c>
      <x:c r="N63" s="28" t="str"/>
    </x:row>
    <x:row r="64">
      <x:c r="A64" s="28" t="str">
        <x:v>Week 8</x:v>
      </x:c>
      <x:c r="B64" s="28" t="str">
        <x:v>Sprint 3</x:v>
      </x:c>
      <x:c r="C64" s="42" t="n">
        <x:v>46253</x:v>
      </x:c>
      <x:c r="D64" s="28" t="str">
        <x:v>QA/Tester</x:v>
      </x:c>
      <x:c r="E64" s="28" t="str">
        <x:v>Green</x:v>
      </x:c>
      <x:c r="F64" s="43" t="str"/>
      <x:c r="G64" s="28" t="str"/>
      <x:c r="H64" s="28" t="str"/>
      <x:c r="I64" s="28" t="str"/>
      <x:c r="J64" s="28" t="str"/>
      <x:c r="K64" s="28" t="str">
        <x:v>TBD</x:v>
      </x:c>
      <x:c r="L64" s="42" t="str"/>
      <x:c r="M64" s="28" t="str">
        <x:v>Open</x:v>
      </x:c>
      <x:c r="N64" s="28" t="str"/>
    </x:row>
    <x:row r="65">
      <x:c r="A65" s="28" t="str">
        <x:v>Week 8</x:v>
      </x:c>
      <x:c r="B65" s="28" t="str">
        <x:v>Sprint 3</x:v>
      </x:c>
      <x:c r="C65" s="42" t="n">
        <x:v>46253</x:v>
      </x:c>
      <x:c r="D65" s="28" t="str">
        <x:v>Technical Writer</x:v>
      </x:c>
      <x:c r="E65" s="28" t="str">
        <x:v>Green</x:v>
      </x:c>
      <x:c r="F65" s="43" t="str"/>
      <x:c r="G65" s="28" t="str"/>
      <x:c r="H65" s="28" t="str"/>
      <x:c r="I65" s="28" t="str"/>
      <x:c r="J65" s="28" t="str"/>
      <x:c r="K65" s="28" t="str">
        <x:v>TBD</x:v>
      </x:c>
      <x:c r="L65" s="42" t="str"/>
      <x:c r="M65" s="28" t="str">
        <x:v>Open</x:v>
      </x:c>
      <x:c r="N65" s="28" t="str"/>
    </x:row>
    <x:row r="66">
      <x:c r="A66" s="28" t="str">
        <x:v>Week 8</x:v>
      </x:c>
      <x:c r="B66" s="28" t="str">
        <x:v>Sprint 3</x:v>
      </x:c>
      <x:c r="C66" s="42" t="n">
        <x:v>46253</x:v>
      </x:c>
      <x:c r="D66" s="28" t="str">
        <x:v>Sales/Marketing/Presales</x:v>
      </x:c>
      <x:c r="E66" s="28" t="str">
        <x:v>Green</x:v>
      </x:c>
      <x:c r="F66" s="43" t="str"/>
      <x:c r="G66" s="28" t="str"/>
      <x:c r="H66" s="28" t="str"/>
      <x:c r="I66" s="28" t="str"/>
      <x:c r="J66" s="28" t="str"/>
      <x:c r="K66" s="28" t="str">
        <x:v>TBD</x:v>
      </x:c>
      <x:c r="L66" s="42" t="str"/>
      <x:c r="M66" s="28" t="str">
        <x:v>Open</x:v>
      </x:c>
      <x:c r="N66" s="28" t="str"/>
    </x:row>
    <x:row r="67">
      <x:c r="A67" s="28" t="str">
        <x:v>Week 9</x:v>
      </x:c>
      <x:c r="B67" s="28" t="str">
        <x:v>Sprint 4</x:v>
      </x:c>
      <x:c r="C67" s="42" t="n">
        <x:v>46260</x:v>
      </x:c>
      <x:c r="D67" s="28" t="str">
        <x:v>Product Owner</x:v>
      </x:c>
      <x:c r="E67" s="28" t="str">
        <x:v>Green</x:v>
      </x:c>
      <x:c r="F67" s="43" t="str"/>
      <x:c r="G67" s="28" t="str"/>
      <x:c r="H67" s="28" t="str"/>
      <x:c r="I67" s="28" t="str"/>
      <x:c r="J67" s="28" t="str"/>
      <x:c r="K67" s="28" t="str">
        <x:v>TBD</x:v>
      </x:c>
      <x:c r="L67" s="42" t="str"/>
      <x:c r="M67" s="28" t="str">
        <x:v>Open</x:v>
      </x:c>
      <x:c r="N67" s="28" t="str"/>
    </x:row>
    <x:row r="68">
      <x:c r="A68" s="28" t="str">
        <x:v>Week 9</x:v>
      </x:c>
      <x:c r="B68" s="28" t="str">
        <x:v>Sprint 4</x:v>
      </x:c>
      <x:c r="C68" s="42" t="n">
        <x:v>46260</x:v>
      </x:c>
      <x:c r="D68" s="28" t="str">
        <x:v>Solution Architect</x:v>
      </x:c>
      <x:c r="E68" s="28" t="str">
        <x:v>Green</x:v>
      </x:c>
      <x:c r="F68" s="43" t="str"/>
      <x:c r="G68" s="28" t="str"/>
      <x:c r="H68" s="28" t="str"/>
      <x:c r="I68" s="28" t="str"/>
      <x:c r="J68" s="28" t="str"/>
      <x:c r="K68" s="28" t="str">
        <x:v>TBD</x:v>
      </x:c>
      <x:c r="L68" s="42" t="str"/>
      <x:c r="M68" s="28" t="str">
        <x:v>Open</x:v>
      </x:c>
      <x:c r="N68" s="28" t="str"/>
    </x:row>
    <x:row r="69">
      <x:c r="A69" s="28" t="str">
        <x:v>Week 9</x:v>
      </x:c>
      <x:c r="B69" s="28" t="str">
        <x:v>Sprint 4</x:v>
      </x:c>
      <x:c r="C69" s="42" t="n">
        <x:v>46260</x:v>
      </x:c>
      <x:c r="D69" s="28" t="str">
        <x:v>Infra/OpenNebula Engineer</x:v>
      </x:c>
      <x:c r="E69" s="28" t="str">
        <x:v>Green</x:v>
      </x:c>
      <x:c r="F69" s="43" t="str"/>
      <x:c r="G69" s="28" t="str"/>
      <x:c r="H69" s="28" t="str"/>
      <x:c r="I69" s="28" t="str"/>
      <x:c r="J69" s="28" t="str"/>
      <x:c r="K69" s="28" t="str">
        <x:v>TBD</x:v>
      </x:c>
      <x:c r="L69" s="42" t="str"/>
      <x:c r="M69" s="28" t="str">
        <x:v>Open</x:v>
      </x:c>
      <x:c r="N69" s="28" t="str"/>
    </x:row>
    <x:row r="70">
      <x:c r="A70" s="28" t="str">
        <x:v>Week 9</x:v>
      </x:c>
      <x:c r="B70" s="28" t="str">
        <x:v>Sprint 4</x:v>
      </x:c>
      <x:c r="C70" s="42" t="n">
        <x:v>46260</x:v>
      </x:c>
      <x:c r="D70" s="28" t="str">
        <x:v>Backend Engineer</x:v>
      </x:c>
      <x:c r="E70" s="28" t="str">
        <x:v>Green</x:v>
      </x:c>
      <x:c r="F70" s="43" t="str"/>
      <x:c r="G70" s="28" t="str"/>
      <x:c r="H70" s="28" t="str"/>
      <x:c r="I70" s="28" t="str"/>
      <x:c r="J70" s="28" t="str"/>
      <x:c r="K70" s="28" t="str">
        <x:v>TBD</x:v>
      </x:c>
      <x:c r="L70" s="42" t="str"/>
      <x:c r="M70" s="28" t="str">
        <x:v>Open</x:v>
      </x:c>
      <x:c r="N70" s="28" t="str"/>
    </x:row>
    <x:row r="71">
      <x:c r="A71" s="28" t="str">
        <x:v>Week 9</x:v>
      </x:c>
      <x:c r="B71" s="28" t="str">
        <x:v>Sprint 4</x:v>
      </x:c>
      <x:c r="C71" s="42" t="n">
        <x:v>46260</x:v>
      </x:c>
      <x:c r="D71" s="28" t="str">
        <x:v>Frontend Engineer</x:v>
      </x:c>
      <x:c r="E71" s="28" t="str">
        <x:v>Green</x:v>
      </x:c>
      <x:c r="F71" s="43" t="str"/>
      <x:c r="G71" s="28" t="str"/>
      <x:c r="H71" s="28" t="str"/>
      <x:c r="I71" s="28" t="str"/>
      <x:c r="J71" s="28" t="str"/>
      <x:c r="K71" s="28" t="str">
        <x:v>TBD</x:v>
      </x:c>
      <x:c r="L71" s="42" t="str"/>
      <x:c r="M71" s="28" t="str">
        <x:v>Open</x:v>
      </x:c>
      <x:c r="N71" s="28" t="str"/>
    </x:row>
    <x:row r="72">
      <x:c r="A72" s="28" t="str">
        <x:v>Week 9</x:v>
      </x:c>
      <x:c r="B72" s="28" t="str">
        <x:v>Sprint 4</x:v>
      </x:c>
      <x:c r="C72" s="42" t="n">
        <x:v>46260</x:v>
      </x:c>
      <x:c r="D72" s="28" t="str">
        <x:v>QA/Tester</x:v>
      </x:c>
      <x:c r="E72" s="28" t="str">
        <x:v>Green</x:v>
      </x:c>
      <x:c r="F72" s="43" t="str"/>
      <x:c r="G72" s="28" t="str"/>
      <x:c r="H72" s="28" t="str"/>
      <x:c r="I72" s="28" t="str"/>
      <x:c r="J72" s="28" t="str"/>
      <x:c r="K72" s="28" t="str">
        <x:v>TBD</x:v>
      </x:c>
      <x:c r="L72" s="42" t="str"/>
      <x:c r="M72" s="28" t="str">
        <x:v>Open</x:v>
      </x:c>
      <x:c r="N72" s="28" t="str"/>
    </x:row>
    <x:row r="73">
      <x:c r="A73" s="28" t="str">
        <x:v>Week 9</x:v>
      </x:c>
      <x:c r="B73" s="28" t="str">
        <x:v>Sprint 4</x:v>
      </x:c>
      <x:c r="C73" s="42" t="n">
        <x:v>46260</x:v>
      </x:c>
      <x:c r="D73" s="28" t="str">
        <x:v>Technical Writer</x:v>
      </x:c>
      <x:c r="E73" s="28" t="str">
        <x:v>Green</x:v>
      </x:c>
      <x:c r="F73" s="43" t="str"/>
      <x:c r="G73" s="28" t="str"/>
      <x:c r="H73" s="28" t="str"/>
      <x:c r="I73" s="28" t="str"/>
      <x:c r="J73" s="28" t="str"/>
      <x:c r="K73" s="28" t="str">
        <x:v>TBD</x:v>
      </x:c>
      <x:c r="L73" s="42" t="str"/>
      <x:c r="M73" s="28" t="str">
        <x:v>Open</x:v>
      </x:c>
      <x:c r="N73" s="28" t="str"/>
    </x:row>
    <x:row r="74">
      <x:c r="A74" s="28" t="str">
        <x:v>Week 9</x:v>
      </x:c>
      <x:c r="B74" s="28" t="str">
        <x:v>Sprint 4</x:v>
      </x:c>
      <x:c r="C74" s="42" t="n">
        <x:v>46260</x:v>
      </x:c>
      <x:c r="D74" s="28" t="str">
        <x:v>Sales/Marketing/Presales</x:v>
      </x:c>
      <x:c r="E74" s="28" t="str">
        <x:v>Green</x:v>
      </x:c>
      <x:c r="F74" s="43" t="str"/>
      <x:c r="G74" s="28" t="str"/>
      <x:c r="H74" s="28" t="str"/>
      <x:c r="I74" s="28" t="str"/>
      <x:c r="J74" s="28" t="str"/>
      <x:c r="K74" s="28" t="str">
        <x:v>TBD</x:v>
      </x:c>
      <x:c r="L74" s="42" t="str"/>
      <x:c r="M74" s="28" t="str">
        <x:v>Open</x:v>
      </x:c>
      <x:c r="N74" s="28" t="str"/>
    </x:row>
    <x:row r="75">
      <x:c r="A75" s="28" t="str">
        <x:v>Week 10</x:v>
      </x:c>
      <x:c r="B75" s="28" t="str">
        <x:v>Sprint 4</x:v>
      </x:c>
      <x:c r="C75" s="42" t="n">
        <x:v>46267</x:v>
      </x:c>
      <x:c r="D75" s="28" t="str">
        <x:v>Product Owner</x:v>
      </x:c>
      <x:c r="E75" s="28" t="str">
        <x:v>Green</x:v>
      </x:c>
      <x:c r="F75" s="43" t="str"/>
      <x:c r="G75" s="28" t="str"/>
      <x:c r="H75" s="28" t="str"/>
      <x:c r="I75" s="28" t="str"/>
      <x:c r="J75" s="28" t="str"/>
      <x:c r="K75" s="28" t="str">
        <x:v>TBD</x:v>
      </x:c>
      <x:c r="L75" s="42" t="str"/>
      <x:c r="M75" s="28" t="str">
        <x:v>Open</x:v>
      </x:c>
      <x:c r="N75" s="28" t="str"/>
    </x:row>
    <x:row r="76">
      <x:c r="A76" s="28" t="str">
        <x:v>Week 10</x:v>
      </x:c>
      <x:c r="B76" s="28" t="str">
        <x:v>Sprint 4</x:v>
      </x:c>
      <x:c r="C76" s="42" t="n">
        <x:v>46267</x:v>
      </x:c>
      <x:c r="D76" s="28" t="str">
        <x:v>Solution Architect</x:v>
      </x:c>
      <x:c r="E76" s="28" t="str">
        <x:v>Green</x:v>
      </x:c>
      <x:c r="F76" s="43" t="str"/>
      <x:c r="G76" s="28" t="str"/>
      <x:c r="H76" s="28" t="str"/>
      <x:c r="I76" s="28" t="str"/>
      <x:c r="J76" s="28" t="str"/>
      <x:c r="K76" s="28" t="str">
        <x:v>TBD</x:v>
      </x:c>
      <x:c r="L76" s="42" t="str"/>
      <x:c r="M76" s="28" t="str">
        <x:v>Open</x:v>
      </x:c>
      <x:c r="N76" s="28" t="str"/>
    </x:row>
    <x:row r="77">
      <x:c r="A77" s="28" t="str">
        <x:v>Week 10</x:v>
      </x:c>
      <x:c r="B77" s="28" t="str">
        <x:v>Sprint 4</x:v>
      </x:c>
      <x:c r="C77" s="42" t="n">
        <x:v>46267</x:v>
      </x:c>
      <x:c r="D77" s="28" t="str">
        <x:v>Infra/OpenNebula Engineer</x:v>
      </x:c>
      <x:c r="E77" s="28" t="str">
        <x:v>Green</x:v>
      </x:c>
      <x:c r="F77" s="43" t="str"/>
      <x:c r="G77" s="28" t="str"/>
      <x:c r="H77" s="28" t="str"/>
      <x:c r="I77" s="28" t="str"/>
      <x:c r="J77" s="28" t="str"/>
      <x:c r="K77" s="28" t="str">
        <x:v>TBD</x:v>
      </x:c>
      <x:c r="L77" s="42" t="str"/>
      <x:c r="M77" s="28" t="str">
        <x:v>Open</x:v>
      </x:c>
      <x:c r="N77" s="28" t="str"/>
    </x:row>
    <x:row r="78">
      <x:c r="A78" s="28" t="str">
        <x:v>Week 10</x:v>
      </x:c>
      <x:c r="B78" s="28" t="str">
        <x:v>Sprint 4</x:v>
      </x:c>
      <x:c r="C78" s="42" t="n">
        <x:v>46267</x:v>
      </x:c>
      <x:c r="D78" s="28" t="str">
        <x:v>Backend Engineer</x:v>
      </x:c>
      <x:c r="E78" s="28" t="str">
        <x:v>Green</x:v>
      </x:c>
      <x:c r="F78" s="43" t="str"/>
      <x:c r="G78" s="28" t="str"/>
      <x:c r="H78" s="28" t="str"/>
      <x:c r="I78" s="28" t="str"/>
      <x:c r="J78" s="28" t="str"/>
      <x:c r="K78" s="28" t="str">
        <x:v>TBD</x:v>
      </x:c>
      <x:c r="L78" s="42" t="str"/>
      <x:c r="M78" s="28" t="str">
        <x:v>Open</x:v>
      </x:c>
      <x:c r="N78" s="28" t="str"/>
    </x:row>
    <x:row r="79">
      <x:c r="A79" s="28" t="str">
        <x:v>Week 10</x:v>
      </x:c>
      <x:c r="B79" s="28" t="str">
        <x:v>Sprint 4</x:v>
      </x:c>
      <x:c r="C79" s="42" t="n">
        <x:v>46267</x:v>
      </x:c>
      <x:c r="D79" s="28" t="str">
        <x:v>Frontend Engineer</x:v>
      </x:c>
      <x:c r="E79" s="28" t="str">
        <x:v>Green</x:v>
      </x:c>
      <x:c r="F79" s="43" t="str"/>
      <x:c r="G79" s="28" t="str"/>
      <x:c r="H79" s="28" t="str"/>
      <x:c r="I79" s="28" t="str"/>
      <x:c r="J79" s="28" t="str"/>
      <x:c r="K79" s="28" t="str">
        <x:v>TBD</x:v>
      </x:c>
      <x:c r="L79" s="42" t="str"/>
      <x:c r="M79" s="28" t="str">
        <x:v>Open</x:v>
      </x:c>
      <x:c r="N79" s="28" t="str"/>
    </x:row>
    <x:row r="80">
      <x:c r="A80" s="28" t="str">
        <x:v>Week 10</x:v>
      </x:c>
      <x:c r="B80" s="28" t="str">
        <x:v>Sprint 4</x:v>
      </x:c>
      <x:c r="C80" s="42" t="n">
        <x:v>46267</x:v>
      </x:c>
      <x:c r="D80" s="28" t="str">
        <x:v>QA/Tester</x:v>
      </x:c>
      <x:c r="E80" s="28" t="str">
        <x:v>Green</x:v>
      </x:c>
      <x:c r="F80" s="43" t="str"/>
      <x:c r="G80" s="28" t="str"/>
      <x:c r="H80" s="28" t="str"/>
      <x:c r="I80" s="28" t="str"/>
      <x:c r="J80" s="28" t="str"/>
      <x:c r="K80" s="28" t="str">
        <x:v>TBD</x:v>
      </x:c>
      <x:c r="L80" s="42" t="str"/>
      <x:c r="M80" s="28" t="str">
        <x:v>Open</x:v>
      </x:c>
      <x:c r="N80" s="28" t="str"/>
    </x:row>
    <x:row r="81">
      <x:c r="A81" s="28" t="str">
        <x:v>Week 10</x:v>
      </x:c>
      <x:c r="B81" s="28" t="str">
        <x:v>Sprint 4</x:v>
      </x:c>
      <x:c r="C81" s="42" t="n">
        <x:v>46267</x:v>
      </x:c>
      <x:c r="D81" s="28" t="str">
        <x:v>Technical Writer</x:v>
      </x:c>
      <x:c r="E81" s="28" t="str">
        <x:v>Green</x:v>
      </x:c>
      <x:c r="F81" s="43" t="str"/>
      <x:c r="G81" s="28" t="str"/>
      <x:c r="H81" s="28" t="str"/>
      <x:c r="I81" s="28" t="str"/>
      <x:c r="J81" s="28" t="str"/>
      <x:c r="K81" s="28" t="str">
        <x:v>TBD</x:v>
      </x:c>
      <x:c r="L81" s="42" t="str"/>
      <x:c r="M81" s="28" t="str">
        <x:v>Open</x:v>
      </x:c>
      <x:c r="N81" s="28" t="str"/>
    </x:row>
    <x:row r="82">
      <x:c r="A82" s="28" t="str">
        <x:v>Week 10</x:v>
      </x:c>
      <x:c r="B82" s="28" t="str">
        <x:v>Sprint 4</x:v>
      </x:c>
      <x:c r="C82" s="42" t="n">
        <x:v>46267</x:v>
      </x:c>
      <x:c r="D82" s="28" t="str">
        <x:v>Sales/Marketing/Presales</x:v>
      </x:c>
      <x:c r="E82" s="28" t="str">
        <x:v>Green</x:v>
      </x:c>
      <x:c r="F82" s="43" t="str"/>
      <x:c r="G82" s="28" t="str"/>
      <x:c r="H82" s="28" t="str"/>
      <x:c r="I82" s="28" t="str"/>
      <x:c r="J82" s="28" t="str"/>
      <x:c r="K82" s="28" t="str">
        <x:v>TBD</x:v>
      </x:c>
      <x:c r="L82" s="42" t="str"/>
      <x:c r="M82" s="28" t="str">
        <x:v>Open</x:v>
      </x:c>
      <x:c r="N82" s="28" t="str"/>
    </x:row>
    <x:row r="83">
      <x:c r="A83" s="28" t="str">
        <x:v>Week 11</x:v>
      </x:c>
      <x:c r="B83" s="28" t="str">
        <x:v>Sprint 5</x:v>
      </x:c>
      <x:c r="C83" s="42" t="n">
        <x:v>46274</x:v>
      </x:c>
      <x:c r="D83" s="28" t="str">
        <x:v>Product Owner</x:v>
      </x:c>
      <x:c r="E83" s="28" t="str">
        <x:v>Green</x:v>
      </x:c>
      <x:c r="F83" s="43" t="str"/>
      <x:c r="G83" s="28" t="str"/>
      <x:c r="H83" s="28" t="str"/>
      <x:c r="I83" s="28" t="str"/>
      <x:c r="J83" s="28" t="str"/>
      <x:c r="K83" s="28" t="str">
        <x:v>TBD</x:v>
      </x:c>
      <x:c r="L83" s="42" t="str"/>
      <x:c r="M83" s="28" t="str">
        <x:v>Open</x:v>
      </x:c>
      <x:c r="N83" s="28" t="str"/>
    </x:row>
    <x:row r="84">
      <x:c r="A84" s="28" t="str">
        <x:v>Week 11</x:v>
      </x:c>
      <x:c r="B84" s="28" t="str">
        <x:v>Sprint 5</x:v>
      </x:c>
      <x:c r="C84" s="42" t="n">
        <x:v>46274</x:v>
      </x:c>
      <x:c r="D84" s="28" t="str">
        <x:v>Solution Architect</x:v>
      </x:c>
      <x:c r="E84" s="28" t="str">
        <x:v>Green</x:v>
      </x:c>
      <x:c r="F84" s="43" t="str"/>
      <x:c r="G84" s="28" t="str"/>
      <x:c r="H84" s="28" t="str"/>
      <x:c r="I84" s="28" t="str"/>
      <x:c r="J84" s="28" t="str"/>
      <x:c r="K84" s="28" t="str">
        <x:v>TBD</x:v>
      </x:c>
      <x:c r="L84" s="42" t="str"/>
      <x:c r="M84" s="28" t="str">
        <x:v>Open</x:v>
      </x:c>
      <x:c r="N84" s="28" t="str"/>
    </x:row>
    <x:row r="85">
      <x:c r="A85" s="28" t="str">
        <x:v>Week 11</x:v>
      </x:c>
      <x:c r="B85" s="28" t="str">
        <x:v>Sprint 5</x:v>
      </x:c>
      <x:c r="C85" s="42" t="n">
        <x:v>46274</x:v>
      </x:c>
      <x:c r="D85" s="28" t="str">
        <x:v>Infra/OpenNebula Engineer</x:v>
      </x:c>
      <x:c r="E85" s="28" t="str">
        <x:v>Green</x:v>
      </x:c>
      <x:c r="F85" s="43" t="str"/>
      <x:c r="G85" s="28" t="str"/>
      <x:c r="H85" s="28" t="str"/>
      <x:c r="I85" s="28" t="str"/>
      <x:c r="J85" s="28" t="str"/>
      <x:c r="K85" s="28" t="str">
        <x:v>TBD</x:v>
      </x:c>
      <x:c r="L85" s="42" t="str"/>
      <x:c r="M85" s="28" t="str">
        <x:v>Open</x:v>
      </x:c>
      <x:c r="N85" s="28" t="str"/>
    </x:row>
    <x:row r="86">
      <x:c r="A86" s="28" t="str">
        <x:v>Week 11</x:v>
      </x:c>
      <x:c r="B86" s="28" t="str">
        <x:v>Sprint 5</x:v>
      </x:c>
      <x:c r="C86" s="42" t="n">
        <x:v>46274</x:v>
      </x:c>
      <x:c r="D86" s="28" t="str">
        <x:v>Backend Engineer</x:v>
      </x:c>
      <x:c r="E86" s="28" t="str">
        <x:v>Green</x:v>
      </x:c>
      <x:c r="F86" s="43" t="str"/>
      <x:c r="G86" s="28" t="str"/>
      <x:c r="H86" s="28" t="str"/>
      <x:c r="I86" s="28" t="str"/>
      <x:c r="J86" s="28" t="str"/>
      <x:c r="K86" s="28" t="str">
        <x:v>TBD</x:v>
      </x:c>
      <x:c r="L86" s="42" t="str"/>
      <x:c r="M86" s="28" t="str">
        <x:v>Open</x:v>
      </x:c>
      <x:c r="N86" s="28" t="str"/>
    </x:row>
    <x:row r="87">
      <x:c r="A87" s="28" t="str">
        <x:v>Week 11</x:v>
      </x:c>
      <x:c r="B87" s="28" t="str">
        <x:v>Sprint 5</x:v>
      </x:c>
      <x:c r="C87" s="42" t="n">
        <x:v>46274</x:v>
      </x:c>
      <x:c r="D87" s="28" t="str">
        <x:v>Frontend Engineer</x:v>
      </x:c>
      <x:c r="E87" s="28" t="str">
        <x:v>Green</x:v>
      </x:c>
      <x:c r="F87" s="43" t="str"/>
      <x:c r="G87" s="28" t="str"/>
      <x:c r="H87" s="28" t="str"/>
      <x:c r="I87" s="28" t="str"/>
      <x:c r="J87" s="28" t="str"/>
      <x:c r="K87" s="28" t="str">
        <x:v>TBD</x:v>
      </x:c>
      <x:c r="L87" s="42" t="str"/>
      <x:c r="M87" s="28" t="str">
        <x:v>Open</x:v>
      </x:c>
      <x:c r="N87" s="28" t="str"/>
    </x:row>
    <x:row r="88">
      <x:c r="A88" s="28" t="str">
        <x:v>Week 11</x:v>
      </x:c>
      <x:c r="B88" s="28" t="str">
        <x:v>Sprint 5</x:v>
      </x:c>
      <x:c r="C88" s="42" t="n">
        <x:v>46274</x:v>
      </x:c>
      <x:c r="D88" s="28" t="str">
        <x:v>QA/Tester</x:v>
      </x:c>
      <x:c r="E88" s="28" t="str">
        <x:v>Green</x:v>
      </x:c>
      <x:c r="F88" s="43" t="str"/>
      <x:c r="G88" s="28" t="str"/>
      <x:c r="H88" s="28" t="str"/>
      <x:c r="I88" s="28" t="str"/>
      <x:c r="J88" s="28" t="str"/>
      <x:c r="K88" s="28" t="str">
        <x:v>TBD</x:v>
      </x:c>
      <x:c r="L88" s="42" t="str"/>
      <x:c r="M88" s="28" t="str">
        <x:v>Open</x:v>
      </x:c>
      <x:c r="N88" s="28" t="str"/>
    </x:row>
    <x:row r="89">
      <x:c r="A89" s="28" t="str">
        <x:v>Week 11</x:v>
      </x:c>
      <x:c r="B89" s="28" t="str">
        <x:v>Sprint 5</x:v>
      </x:c>
      <x:c r="C89" s="42" t="n">
        <x:v>46274</x:v>
      </x:c>
      <x:c r="D89" s="28" t="str">
        <x:v>Technical Writer</x:v>
      </x:c>
      <x:c r="E89" s="28" t="str">
        <x:v>Green</x:v>
      </x:c>
      <x:c r="F89" s="43" t="str"/>
      <x:c r="G89" s="28" t="str"/>
      <x:c r="H89" s="28" t="str"/>
      <x:c r="I89" s="28" t="str"/>
      <x:c r="J89" s="28" t="str"/>
      <x:c r="K89" s="28" t="str">
        <x:v>TBD</x:v>
      </x:c>
      <x:c r="L89" s="42" t="str"/>
      <x:c r="M89" s="28" t="str">
        <x:v>Open</x:v>
      </x:c>
      <x:c r="N89" s="28" t="str"/>
    </x:row>
    <x:row r="90">
      <x:c r="A90" s="28" t="str">
        <x:v>Week 11</x:v>
      </x:c>
      <x:c r="B90" s="28" t="str">
        <x:v>Sprint 5</x:v>
      </x:c>
      <x:c r="C90" s="42" t="n">
        <x:v>46274</x:v>
      </x:c>
      <x:c r="D90" s="28" t="str">
        <x:v>Sales/Marketing/Presales</x:v>
      </x:c>
      <x:c r="E90" s="28" t="str">
        <x:v>Green</x:v>
      </x:c>
      <x:c r="F90" s="43" t="str"/>
      <x:c r="G90" s="28" t="str"/>
      <x:c r="H90" s="28" t="str"/>
      <x:c r="I90" s="28" t="str"/>
      <x:c r="J90" s="28" t="str"/>
      <x:c r="K90" s="28" t="str">
        <x:v>TBD</x:v>
      </x:c>
      <x:c r="L90" s="42" t="str"/>
      <x:c r="M90" s="28" t="str">
        <x:v>Open</x:v>
      </x:c>
      <x:c r="N90" s="28" t="str"/>
    </x:row>
    <x:row r="91">
      <x:c r="A91" s="28" t="str">
        <x:v>Week 12</x:v>
      </x:c>
      <x:c r="B91" s="28" t="str">
        <x:v>Sprint 5</x:v>
      </x:c>
      <x:c r="C91" s="42" t="n">
        <x:v>46281</x:v>
      </x:c>
      <x:c r="D91" s="28" t="str">
        <x:v>Product Owner</x:v>
      </x:c>
      <x:c r="E91" s="28" t="str">
        <x:v>Green</x:v>
      </x:c>
      <x:c r="F91" s="43" t="str"/>
      <x:c r="G91" s="28" t="str"/>
      <x:c r="H91" s="28" t="str"/>
      <x:c r="I91" s="28" t="str"/>
      <x:c r="J91" s="28" t="str"/>
      <x:c r="K91" s="28" t="str">
        <x:v>TBD</x:v>
      </x:c>
      <x:c r="L91" s="42" t="str"/>
      <x:c r="M91" s="28" t="str">
        <x:v>Open</x:v>
      </x:c>
      <x:c r="N91" s="28" t="str"/>
    </x:row>
    <x:row r="92">
      <x:c r="A92" s="28" t="str">
        <x:v>Week 12</x:v>
      </x:c>
      <x:c r="B92" s="28" t="str">
        <x:v>Sprint 5</x:v>
      </x:c>
      <x:c r="C92" s="42" t="n">
        <x:v>46281</x:v>
      </x:c>
      <x:c r="D92" s="28" t="str">
        <x:v>Solution Architect</x:v>
      </x:c>
      <x:c r="E92" s="28" t="str">
        <x:v>Green</x:v>
      </x:c>
      <x:c r="F92" s="43" t="str"/>
      <x:c r="G92" s="28" t="str"/>
      <x:c r="H92" s="28" t="str"/>
      <x:c r="I92" s="28" t="str"/>
      <x:c r="J92" s="28" t="str"/>
      <x:c r="K92" s="28" t="str">
        <x:v>TBD</x:v>
      </x:c>
      <x:c r="L92" s="42" t="str"/>
      <x:c r="M92" s="28" t="str">
        <x:v>Open</x:v>
      </x:c>
      <x:c r="N92" s="28" t="str"/>
    </x:row>
    <x:row r="93">
      <x:c r="A93" s="28" t="str">
        <x:v>Week 12</x:v>
      </x:c>
      <x:c r="B93" s="28" t="str">
        <x:v>Sprint 5</x:v>
      </x:c>
      <x:c r="C93" s="42" t="n">
        <x:v>46281</x:v>
      </x:c>
      <x:c r="D93" s="28" t="str">
        <x:v>Infra/OpenNebula Engineer</x:v>
      </x:c>
      <x:c r="E93" s="28" t="str">
        <x:v>Green</x:v>
      </x:c>
      <x:c r="F93" s="43" t="str"/>
      <x:c r="G93" s="28" t="str"/>
      <x:c r="H93" s="28" t="str"/>
      <x:c r="I93" s="28" t="str"/>
      <x:c r="J93" s="28" t="str"/>
      <x:c r="K93" s="28" t="str">
        <x:v>TBD</x:v>
      </x:c>
      <x:c r="L93" s="42" t="str"/>
      <x:c r="M93" s="28" t="str">
        <x:v>Open</x:v>
      </x:c>
      <x:c r="N93" s="28" t="str"/>
    </x:row>
    <x:row r="94">
      <x:c r="A94" s="28" t="str">
        <x:v>Week 12</x:v>
      </x:c>
      <x:c r="B94" s="28" t="str">
        <x:v>Sprint 5</x:v>
      </x:c>
      <x:c r="C94" s="42" t="n">
        <x:v>46281</x:v>
      </x:c>
      <x:c r="D94" s="28" t="str">
        <x:v>Backend Engineer</x:v>
      </x:c>
      <x:c r="E94" s="28" t="str">
        <x:v>Green</x:v>
      </x:c>
      <x:c r="F94" s="43" t="str"/>
      <x:c r="G94" s="28" t="str"/>
      <x:c r="H94" s="28" t="str"/>
      <x:c r="I94" s="28" t="str"/>
      <x:c r="J94" s="28" t="str"/>
      <x:c r="K94" s="28" t="str">
        <x:v>TBD</x:v>
      </x:c>
      <x:c r="L94" s="42" t="str"/>
      <x:c r="M94" s="28" t="str">
        <x:v>Open</x:v>
      </x:c>
      <x:c r="N94" s="28" t="str"/>
    </x:row>
    <x:row r="95">
      <x:c r="A95" s="28" t="str">
        <x:v>Week 12</x:v>
      </x:c>
      <x:c r="B95" s="28" t="str">
        <x:v>Sprint 5</x:v>
      </x:c>
      <x:c r="C95" s="42" t="n">
        <x:v>46281</x:v>
      </x:c>
      <x:c r="D95" s="28" t="str">
        <x:v>Frontend Engineer</x:v>
      </x:c>
      <x:c r="E95" s="28" t="str">
        <x:v>Green</x:v>
      </x:c>
      <x:c r="F95" s="43" t="str"/>
      <x:c r="G95" s="28" t="str"/>
      <x:c r="H95" s="28" t="str"/>
      <x:c r="I95" s="28" t="str"/>
      <x:c r="J95" s="28" t="str"/>
      <x:c r="K95" s="28" t="str">
        <x:v>TBD</x:v>
      </x:c>
      <x:c r="L95" s="42" t="str"/>
      <x:c r="M95" s="28" t="str">
        <x:v>Open</x:v>
      </x:c>
      <x:c r="N95" s="28" t="str"/>
    </x:row>
    <x:row r="96">
      <x:c r="A96" s="28" t="str">
        <x:v>Week 12</x:v>
      </x:c>
      <x:c r="B96" s="28" t="str">
        <x:v>Sprint 5</x:v>
      </x:c>
      <x:c r="C96" s="42" t="n">
        <x:v>46281</x:v>
      </x:c>
      <x:c r="D96" s="28" t="str">
        <x:v>QA/Tester</x:v>
      </x:c>
      <x:c r="E96" s="28" t="str">
        <x:v>Green</x:v>
      </x:c>
      <x:c r="F96" s="43" t="str"/>
      <x:c r="G96" s="28" t="str"/>
      <x:c r="H96" s="28" t="str"/>
      <x:c r="I96" s="28" t="str"/>
      <x:c r="J96" s="28" t="str"/>
      <x:c r="K96" s="28" t="str">
        <x:v>TBD</x:v>
      </x:c>
      <x:c r="L96" s="42" t="str"/>
      <x:c r="M96" s="28" t="str">
        <x:v>Open</x:v>
      </x:c>
      <x:c r="N96" s="28" t="str"/>
    </x:row>
    <x:row r="97">
      <x:c r="A97" s="28" t="str">
        <x:v>Week 12</x:v>
      </x:c>
      <x:c r="B97" s="28" t="str">
        <x:v>Sprint 5</x:v>
      </x:c>
      <x:c r="C97" s="42" t="n">
        <x:v>46281</x:v>
      </x:c>
      <x:c r="D97" s="28" t="str">
        <x:v>Technical Writer</x:v>
      </x:c>
      <x:c r="E97" s="28" t="str">
        <x:v>Green</x:v>
      </x:c>
      <x:c r="F97" s="43" t="str"/>
      <x:c r="G97" s="28" t="str"/>
      <x:c r="H97" s="28" t="str"/>
      <x:c r="I97" s="28" t="str"/>
      <x:c r="J97" s="28" t="str"/>
      <x:c r="K97" s="28" t="str">
        <x:v>TBD</x:v>
      </x:c>
      <x:c r="L97" s="42" t="str"/>
      <x:c r="M97" s="28" t="str">
        <x:v>Open</x:v>
      </x:c>
      <x:c r="N97" s="28" t="str"/>
    </x:row>
    <x:row r="98">
      <x:c r="A98" s="28" t="str">
        <x:v>Week 12</x:v>
      </x:c>
      <x:c r="B98" s="28" t="str">
        <x:v>Sprint 5</x:v>
      </x:c>
      <x:c r="C98" s="42" t="n">
        <x:v>46281</x:v>
      </x:c>
      <x:c r="D98" s="28" t="str">
        <x:v>Sales/Marketing/Presales</x:v>
      </x:c>
      <x:c r="E98" s="28" t="str">
        <x:v>Green</x:v>
      </x:c>
      <x:c r="F98" s="43" t="str"/>
      <x:c r="G98" s="28" t="str"/>
      <x:c r="H98" s="28" t="str"/>
      <x:c r="I98" s="28" t="str"/>
      <x:c r="J98" s="28" t="str"/>
      <x:c r="K98" s="28" t="str">
        <x:v>TBD</x:v>
      </x:c>
      <x:c r="L98" s="42" t="str"/>
      <x:c r="M98" s="28" t="str">
        <x:v>Open</x:v>
      </x:c>
      <x:c r="N98" s="28" t="str"/>
    </x:row>
    <x:row r="99">
      <x:c r="A99" s="28" t="str">
        <x:v>Week 13</x:v>
      </x:c>
      <x:c r="B99" s="28" t="str">
        <x:v>Sprint 6</x:v>
      </x:c>
      <x:c r="C99" s="42" t="n">
        <x:v>46288</x:v>
      </x:c>
      <x:c r="D99" s="28" t="str">
        <x:v>Product Owner</x:v>
      </x:c>
      <x:c r="E99" s="28" t="str">
        <x:v>Green</x:v>
      </x:c>
      <x:c r="F99" s="43" t="str"/>
      <x:c r="G99" s="28" t="str"/>
      <x:c r="H99" s="28" t="str"/>
      <x:c r="I99" s="28" t="str"/>
      <x:c r="J99" s="28" t="str"/>
      <x:c r="K99" s="28" t="str">
        <x:v>TBD</x:v>
      </x:c>
      <x:c r="L99" s="42" t="str"/>
      <x:c r="M99" s="28" t="str">
        <x:v>Open</x:v>
      </x:c>
      <x:c r="N99" s="28" t="str"/>
    </x:row>
    <x:row r="100">
      <x:c r="A100" s="28" t="str">
        <x:v>Week 13</x:v>
      </x:c>
      <x:c r="B100" s="28" t="str">
        <x:v>Sprint 6</x:v>
      </x:c>
      <x:c r="C100" s="42" t="n">
        <x:v>46288</x:v>
      </x:c>
      <x:c r="D100" s="28" t="str">
        <x:v>Solution Architect</x:v>
      </x:c>
      <x:c r="E100" s="28" t="str">
        <x:v>Green</x:v>
      </x:c>
      <x:c r="F100" s="43" t="str"/>
      <x:c r="G100" s="28" t="str"/>
      <x:c r="H100" s="28" t="str"/>
      <x:c r="I100" s="28" t="str"/>
      <x:c r="J100" s="28" t="str"/>
      <x:c r="K100" s="28" t="str">
        <x:v>TBD</x:v>
      </x:c>
      <x:c r="L100" s="42" t="str"/>
      <x:c r="M100" s="28" t="str">
        <x:v>Open</x:v>
      </x:c>
      <x:c r="N100" s="28" t="str"/>
    </x:row>
    <x:row r="101">
      <x:c r="A101" s="28" t="str">
        <x:v>Week 13</x:v>
      </x:c>
      <x:c r="B101" s="28" t="str">
        <x:v>Sprint 6</x:v>
      </x:c>
      <x:c r="C101" s="42" t="n">
        <x:v>46288</x:v>
      </x:c>
      <x:c r="D101" s="28" t="str">
        <x:v>Infra/OpenNebula Engineer</x:v>
      </x:c>
      <x:c r="E101" s="28" t="str">
        <x:v>Green</x:v>
      </x:c>
      <x:c r="F101" s="43" t="str"/>
      <x:c r="G101" s="28" t="str"/>
      <x:c r="H101" s="28" t="str"/>
      <x:c r="I101" s="28" t="str"/>
      <x:c r="J101" s="28" t="str"/>
      <x:c r="K101" s="28" t="str">
        <x:v>TBD</x:v>
      </x:c>
      <x:c r="L101" s="42" t="str"/>
      <x:c r="M101" s="28" t="str">
        <x:v>Open</x:v>
      </x:c>
      <x:c r="N101" s="28" t="str"/>
    </x:row>
    <x:row r="102">
      <x:c r="A102" s="28" t="str">
        <x:v>Week 13</x:v>
      </x:c>
      <x:c r="B102" s="28" t="str">
        <x:v>Sprint 6</x:v>
      </x:c>
      <x:c r="C102" s="42" t="n">
        <x:v>46288</x:v>
      </x:c>
      <x:c r="D102" s="28" t="str">
        <x:v>Backend Engineer</x:v>
      </x:c>
      <x:c r="E102" s="28" t="str">
        <x:v>Green</x:v>
      </x:c>
      <x:c r="F102" s="43" t="str"/>
      <x:c r="G102" s="28" t="str"/>
      <x:c r="H102" s="28" t="str"/>
      <x:c r="I102" s="28" t="str"/>
      <x:c r="J102" s="28" t="str"/>
      <x:c r="K102" s="28" t="str">
        <x:v>TBD</x:v>
      </x:c>
      <x:c r="L102" s="42" t="str"/>
      <x:c r="M102" s="28" t="str">
        <x:v>Open</x:v>
      </x:c>
      <x:c r="N102" s="28" t="str"/>
    </x:row>
    <x:row r="103">
      <x:c r="A103" s="28" t="str">
        <x:v>Week 13</x:v>
      </x:c>
      <x:c r="B103" s="28" t="str">
        <x:v>Sprint 6</x:v>
      </x:c>
      <x:c r="C103" s="42" t="n">
        <x:v>46288</x:v>
      </x:c>
      <x:c r="D103" s="28" t="str">
        <x:v>Frontend Engineer</x:v>
      </x:c>
      <x:c r="E103" s="28" t="str">
        <x:v>Green</x:v>
      </x:c>
      <x:c r="F103" s="43" t="str"/>
      <x:c r="G103" s="28" t="str"/>
      <x:c r="H103" s="28" t="str"/>
      <x:c r="I103" s="28" t="str"/>
      <x:c r="J103" s="28" t="str"/>
      <x:c r="K103" s="28" t="str">
        <x:v>TBD</x:v>
      </x:c>
      <x:c r="L103" s="42" t="str"/>
      <x:c r="M103" s="28" t="str">
        <x:v>Open</x:v>
      </x:c>
      <x:c r="N103" s="28" t="str"/>
    </x:row>
    <x:row r="104">
      <x:c r="A104" s="28" t="str">
        <x:v>Week 13</x:v>
      </x:c>
      <x:c r="B104" s="28" t="str">
        <x:v>Sprint 6</x:v>
      </x:c>
      <x:c r="C104" s="42" t="n">
        <x:v>46288</x:v>
      </x:c>
      <x:c r="D104" s="28" t="str">
        <x:v>QA/Tester</x:v>
      </x:c>
      <x:c r="E104" s="28" t="str">
        <x:v>Green</x:v>
      </x:c>
      <x:c r="F104" s="43" t="str"/>
      <x:c r="G104" s="28" t="str"/>
      <x:c r="H104" s="28" t="str"/>
      <x:c r="I104" s="28" t="str"/>
      <x:c r="J104" s="28" t="str"/>
      <x:c r="K104" s="28" t="str">
        <x:v>TBD</x:v>
      </x:c>
      <x:c r="L104" s="42" t="str"/>
      <x:c r="M104" s="28" t="str">
        <x:v>Open</x:v>
      </x:c>
      <x:c r="N104" s="28" t="str"/>
    </x:row>
    <x:row r="105">
      <x:c r="A105" s="28" t="str">
        <x:v>Week 13</x:v>
      </x:c>
      <x:c r="B105" s="28" t="str">
        <x:v>Sprint 6</x:v>
      </x:c>
      <x:c r="C105" s="42" t="n">
        <x:v>46288</x:v>
      </x:c>
      <x:c r="D105" s="28" t="str">
        <x:v>Technical Writer</x:v>
      </x:c>
      <x:c r="E105" s="28" t="str">
        <x:v>Green</x:v>
      </x:c>
      <x:c r="F105" s="43" t="str"/>
      <x:c r="G105" s="28" t="str"/>
      <x:c r="H105" s="28" t="str"/>
      <x:c r="I105" s="28" t="str"/>
      <x:c r="J105" s="28" t="str"/>
      <x:c r="K105" s="28" t="str">
        <x:v>TBD</x:v>
      </x:c>
      <x:c r="L105" s="42" t="str"/>
      <x:c r="M105" s="28" t="str">
        <x:v>Open</x:v>
      </x:c>
      <x:c r="N105" s="28" t="str"/>
    </x:row>
    <x:row r="106">
      <x:c r="A106" s="28" t="str">
        <x:v>Week 13</x:v>
      </x:c>
      <x:c r="B106" s="28" t="str">
        <x:v>Sprint 6</x:v>
      </x:c>
      <x:c r="C106" s="42" t="n">
        <x:v>46288</x:v>
      </x:c>
      <x:c r="D106" s="28" t="str">
        <x:v>Sales/Marketing/Presales</x:v>
      </x:c>
      <x:c r="E106" s="28" t="str">
        <x:v>Green</x:v>
      </x:c>
      <x:c r="F106" s="43" t="str"/>
      <x:c r="G106" s="28" t="str"/>
      <x:c r="H106" s="28" t="str"/>
      <x:c r="I106" s="28" t="str"/>
      <x:c r="J106" s="28" t="str"/>
      <x:c r="K106" s="28" t="str">
        <x:v>TBD</x:v>
      </x:c>
      <x:c r="L106" s="42" t="str"/>
      <x:c r="M106" s="28" t="str">
        <x:v>Open</x:v>
      </x:c>
      <x:c r="N106" s="28" t="str"/>
    </x:row>
    <x:row r="107">
      <x:c r="A107" s="28" t="str">
        <x:v>Week 14</x:v>
      </x:c>
      <x:c r="B107" s="28" t="str">
        <x:v>Sprint 6</x:v>
      </x:c>
      <x:c r="C107" s="42" t="n">
        <x:v>46295</x:v>
      </x:c>
      <x:c r="D107" s="28" t="str">
        <x:v>Product Owner</x:v>
      </x:c>
      <x:c r="E107" s="28" t="str">
        <x:v>Green</x:v>
      </x:c>
      <x:c r="F107" s="43" t="str"/>
      <x:c r="G107" s="28" t="str"/>
      <x:c r="H107" s="28" t="str"/>
      <x:c r="I107" s="28" t="str"/>
      <x:c r="J107" s="28" t="str"/>
      <x:c r="K107" s="28" t="str">
        <x:v>TBD</x:v>
      </x:c>
      <x:c r="L107" s="42" t="str"/>
      <x:c r="M107" s="28" t="str">
        <x:v>Open</x:v>
      </x:c>
      <x:c r="N107" s="28" t="str"/>
    </x:row>
    <x:row r="108">
      <x:c r="A108" s="28" t="str">
        <x:v>Week 14</x:v>
      </x:c>
      <x:c r="B108" s="28" t="str">
        <x:v>Sprint 6</x:v>
      </x:c>
      <x:c r="C108" s="42" t="n">
        <x:v>46295</x:v>
      </x:c>
      <x:c r="D108" s="28" t="str">
        <x:v>Solution Architect</x:v>
      </x:c>
      <x:c r="E108" s="28" t="str">
        <x:v>Green</x:v>
      </x:c>
      <x:c r="F108" s="43" t="str"/>
      <x:c r="G108" s="28" t="str"/>
      <x:c r="H108" s="28" t="str"/>
      <x:c r="I108" s="28" t="str"/>
      <x:c r="J108" s="28" t="str"/>
      <x:c r="K108" s="28" t="str">
        <x:v>TBD</x:v>
      </x:c>
      <x:c r="L108" s="42" t="str"/>
      <x:c r="M108" s="28" t="str">
        <x:v>Open</x:v>
      </x:c>
      <x:c r="N108" s="28" t="str"/>
    </x:row>
    <x:row r="109">
      <x:c r="A109" s="28" t="str">
        <x:v>Week 14</x:v>
      </x:c>
      <x:c r="B109" s="28" t="str">
        <x:v>Sprint 6</x:v>
      </x:c>
      <x:c r="C109" s="42" t="n">
        <x:v>46295</x:v>
      </x:c>
      <x:c r="D109" s="28" t="str">
        <x:v>Infra/OpenNebula Engineer</x:v>
      </x:c>
      <x:c r="E109" s="28" t="str">
        <x:v>Green</x:v>
      </x:c>
      <x:c r="F109" s="43" t="str"/>
      <x:c r="G109" s="28" t="str"/>
      <x:c r="H109" s="28" t="str"/>
      <x:c r="I109" s="28" t="str"/>
      <x:c r="J109" s="28" t="str"/>
      <x:c r="K109" s="28" t="str">
        <x:v>TBD</x:v>
      </x:c>
      <x:c r="L109" s="42" t="str"/>
      <x:c r="M109" s="28" t="str">
        <x:v>Open</x:v>
      </x:c>
      <x:c r="N109" s="28" t="str"/>
    </x:row>
    <x:row r="110">
      <x:c r="A110" s="28" t="str">
        <x:v>Week 14</x:v>
      </x:c>
      <x:c r="B110" s="28" t="str">
        <x:v>Sprint 6</x:v>
      </x:c>
      <x:c r="C110" s="42" t="n">
        <x:v>46295</x:v>
      </x:c>
      <x:c r="D110" s="28" t="str">
        <x:v>Backend Engineer</x:v>
      </x:c>
      <x:c r="E110" s="28" t="str">
        <x:v>Green</x:v>
      </x:c>
      <x:c r="F110" s="43" t="str"/>
      <x:c r="G110" s="28" t="str"/>
      <x:c r="H110" s="28" t="str"/>
      <x:c r="I110" s="28" t="str"/>
      <x:c r="J110" s="28" t="str"/>
      <x:c r="K110" s="28" t="str">
        <x:v>TBD</x:v>
      </x:c>
      <x:c r="L110" s="42" t="str"/>
      <x:c r="M110" s="28" t="str">
        <x:v>Open</x:v>
      </x:c>
      <x:c r="N110" s="28" t="str"/>
    </x:row>
    <x:row r="111">
      <x:c r="A111" s="28" t="str">
        <x:v>Week 14</x:v>
      </x:c>
      <x:c r="B111" s="28" t="str">
        <x:v>Sprint 6</x:v>
      </x:c>
      <x:c r="C111" s="42" t="n">
        <x:v>46295</x:v>
      </x:c>
      <x:c r="D111" s="28" t="str">
        <x:v>Frontend Engineer</x:v>
      </x:c>
      <x:c r="E111" s="28" t="str">
        <x:v>Green</x:v>
      </x:c>
      <x:c r="F111" s="43" t="str"/>
      <x:c r="G111" s="28" t="str"/>
      <x:c r="H111" s="28" t="str"/>
      <x:c r="I111" s="28" t="str"/>
      <x:c r="J111" s="28" t="str"/>
      <x:c r="K111" s="28" t="str">
        <x:v>TBD</x:v>
      </x:c>
      <x:c r="L111" s="42" t="str"/>
      <x:c r="M111" s="28" t="str">
        <x:v>Open</x:v>
      </x:c>
      <x:c r="N111" s="28" t="str"/>
    </x:row>
    <x:row r="112">
      <x:c r="A112" s="28" t="str">
        <x:v>Week 14</x:v>
      </x:c>
      <x:c r="B112" s="28" t="str">
        <x:v>Sprint 6</x:v>
      </x:c>
      <x:c r="C112" s="42" t="n">
        <x:v>46295</x:v>
      </x:c>
      <x:c r="D112" s="28" t="str">
        <x:v>QA/Tester</x:v>
      </x:c>
      <x:c r="E112" s="28" t="str">
        <x:v>Green</x:v>
      </x:c>
      <x:c r="F112" s="43" t="str"/>
      <x:c r="G112" s="28" t="str"/>
      <x:c r="H112" s="28" t="str"/>
      <x:c r="I112" s="28" t="str"/>
      <x:c r="J112" s="28" t="str"/>
      <x:c r="K112" s="28" t="str">
        <x:v>TBD</x:v>
      </x:c>
      <x:c r="L112" s="42" t="str"/>
      <x:c r="M112" s="28" t="str">
        <x:v>Open</x:v>
      </x:c>
      <x:c r="N112" s="28" t="str"/>
    </x:row>
    <x:row r="113">
      <x:c r="A113" s="28" t="str">
        <x:v>Week 14</x:v>
      </x:c>
      <x:c r="B113" s="28" t="str">
        <x:v>Sprint 6</x:v>
      </x:c>
      <x:c r="C113" s="42" t="n">
        <x:v>46295</x:v>
      </x:c>
      <x:c r="D113" s="28" t="str">
        <x:v>Technical Writer</x:v>
      </x:c>
      <x:c r="E113" s="28" t="str">
        <x:v>Green</x:v>
      </x:c>
      <x:c r="F113" s="43" t="str"/>
      <x:c r="G113" s="28" t="str"/>
      <x:c r="H113" s="28" t="str"/>
      <x:c r="I113" s="28" t="str"/>
      <x:c r="J113" s="28" t="str"/>
      <x:c r="K113" s="28" t="str">
        <x:v>TBD</x:v>
      </x:c>
      <x:c r="L113" s="42" t="str"/>
      <x:c r="M113" s="28" t="str">
        <x:v>Open</x:v>
      </x:c>
      <x:c r="N113" s="28" t="str"/>
    </x:row>
    <x:row r="114">
      <x:c r="A114" s="28" t="str">
        <x:v>Week 14</x:v>
      </x:c>
      <x:c r="B114" s="28" t="str">
        <x:v>Sprint 6</x:v>
      </x:c>
      <x:c r="C114" s="42" t="n">
        <x:v>46295</x:v>
      </x:c>
      <x:c r="D114" s="28" t="str">
        <x:v>Sales/Marketing/Presales</x:v>
      </x:c>
      <x:c r="E114" s="28" t="str">
        <x:v>Green</x:v>
      </x:c>
      <x:c r="F114" s="43" t="str"/>
      <x:c r="G114" s="28" t="str"/>
      <x:c r="H114" s="28" t="str"/>
      <x:c r="I114" s="28" t="str"/>
      <x:c r="J114" s="28" t="str"/>
      <x:c r="K114" s="28" t="str">
        <x:v>TBD</x:v>
      </x:c>
      <x:c r="L114" s="42" t="str"/>
      <x:c r="M114" s="28" t="str">
        <x:v>Open</x:v>
      </x:c>
      <x:c r="N114" s="28" t="str"/>
    </x:row>
    <x:row r="115">
      <x:c r="A115" s="28" t="str">
        <x:v>Week 15</x:v>
      </x:c>
      <x:c r="B115" s="28" t="str">
        <x:v>Sprint 7</x:v>
      </x:c>
      <x:c r="C115" s="42" t="n">
        <x:v>46302</x:v>
      </x:c>
      <x:c r="D115" s="28" t="str">
        <x:v>Product Owner</x:v>
      </x:c>
      <x:c r="E115" s="28" t="str">
        <x:v>Green</x:v>
      </x:c>
      <x:c r="F115" s="43" t="str"/>
      <x:c r="G115" s="28" t="str"/>
      <x:c r="H115" s="28" t="str"/>
      <x:c r="I115" s="28" t="str"/>
      <x:c r="J115" s="28" t="str"/>
      <x:c r="K115" s="28" t="str">
        <x:v>TBD</x:v>
      </x:c>
      <x:c r="L115" s="42" t="str"/>
      <x:c r="M115" s="28" t="str">
        <x:v>Open</x:v>
      </x:c>
      <x:c r="N115" s="28" t="str"/>
    </x:row>
    <x:row r="116">
      <x:c r="A116" s="28" t="str">
        <x:v>Week 15</x:v>
      </x:c>
      <x:c r="B116" s="28" t="str">
        <x:v>Sprint 7</x:v>
      </x:c>
      <x:c r="C116" s="42" t="n">
        <x:v>46302</x:v>
      </x:c>
      <x:c r="D116" s="28" t="str">
        <x:v>Solution Architect</x:v>
      </x:c>
      <x:c r="E116" s="28" t="str">
        <x:v>Green</x:v>
      </x:c>
      <x:c r="F116" s="43" t="str"/>
      <x:c r="G116" s="28" t="str"/>
      <x:c r="H116" s="28" t="str"/>
      <x:c r="I116" s="28" t="str"/>
      <x:c r="J116" s="28" t="str"/>
      <x:c r="K116" s="28" t="str">
        <x:v>TBD</x:v>
      </x:c>
      <x:c r="L116" s="42" t="str"/>
      <x:c r="M116" s="28" t="str">
        <x:v>Open</x:v>
      </x:c>
      <x:c r="N116" s="28" t="str"/>
    </x:row>
    <x:row r="117">
      <x:c r="A117" s="28" t="str">
        <x:v>Week 15</x:v>
      </x:c>
      <x:c r="B117" s="28" t="str">
        <x:v>Sprint 7</x:v>
      </x:c>
      <x:c r="C117" s="42" t="n">
        <x:v>46302</x:v>
      </x:c>
      <x:c r="D117" s="28" t="str">
        <x:v>Infra/OpenNebula Engineer</x:v>
      </x:c>
      <x:c r="E117" s="28" t="str">
        <x:v>Green</x:v>
      </x:c>
      <x:c r="F117" s="43" t="str"/>
      <x:c r="G117" s="28" t="str"/>
      <x:c r="H117" s="28" t="str"/>
      <x:c r="I117" s="28" t="str"/>
      <x:c r="J117" s="28" t="str"/>
      <x:c r="K117" s="28" t="str">
        <x:v>TBD</x:v>
      </x:c>
      <x:c r="L117" s="42" t="str"/>
      <x:c r="M117" s="28" t="str">
        <x:v>Open</x:v>
      </x:c>
      <x:c r="N117" s="28" t="str"/>
    </x:row>
    <x:row r="118">
      <x:c r="A118" s="28" t="str">
        <x:v>Week 15</x:v>
      </x:c>
      <x:c r="B118" s="28" t="str">
        <x:v>Sprint 7</x:v>
      </x:c>
      <x:c r="C118" s="42" t="n">
        <x:v>46302</x:v>
      </x:c>
      <x:c r="D118" s="28" t="str">
        <x:v>Backend Engineer</x:v>
      </x:c>
      <x:c r="E118" s="28" t="str">
        <x:v>Green</x:v>
      </x:c>
      <x:c r="F118" s="43" t="str"/>
      <x:c r="G118" s="28" t="str"/>
      <x:c r="H118" s="28" t="str"/>
      <x:c r="I118" s="28" t="str"/>
      <x:c r="J118" s="28" t="str"/>
      <x:c r="K118" s="28" t="str">
        <x:v>TBD</x:v>
      </x:c>
      <x:c r="L118" s="42" t="str"/>
      <x:c r="M118" s="28" t="str">
        <x:v>Open</x:v>
      </x:c>
      <x:c r="N118" s="28" t="str"/>
    </x:row>
    <x:row r="119">
      <x:c r="A119" s="28" t="str">
        <x:v>Week 15</x:v>
      </x:c>
      <x:c r="B119" s="28" t="str">
        <x:v>Sprint 7</x:v>
      </x:c>
      <x:c r="C119" s="42" t="n">
        <x:v>46302</x:v>
      </x:c>
      <x:c r="D119" s="28" t="str">
        <x:v>Frontend Engineer</x:v>
      </x:c>
      <x:c r="E119" s="28" t="str">
        <x:v>Green</x:v>
      </x:c>
      <x:c r="F119" s="43" t="str"/>
      <x:c r="G119" s="28" t="str"/>
      <x:c r="H119" s="28" t="str"/>
      <x:c r="I119" s="28" t="str"/>
      <x:c r="J119" s="28" t="str"/>
      <x:c r="K119" s="28" t="str">
        <x:v>TBD</x:v>
      </x:c>
      <x:c r="L119" s="42" t="str"/>
      <x:c r="M119" s="28" t="str">
        <x:v>Open</x:v>
      </x:c>
      <x:c r="N119" s="28" t="str"/>
    </x:row>
    <x:row r="120">
      <x:c r="A120" s="28" t="str">
        <x:v>Week 15</x:v>
      </x:c>
      <x:c r="B120" s="28" t="str">
        <x:v>Sprint 7</x:v>
      </x:c>
      <x:c r="C120" s="42" t="n">
        <x:v>46302</x:v>
      </x:c>
      <x:c r="D120" s="28" t="str">
        <x:v>QA/Tester</x:v>
      </x:c>
      <x:c r="E120" s="28" t="str">
        <x:v>Green</x:v>
      </x:c>
      <x:c r="F120" s="43" t="str"/>
      <x:c r="G120" s="28" t="str"/>
      <x:c r="H120" s="28" t="str"/>
      <x:c r="I120" s="28" t="str"/>
      <x:c r="J120" s="28" t="str"/>
      <x:c r="K120" s="28" t="str">
        <x:v>TBD</x:v>
      </x:c>
      <x:c r="L120" s="42" t="str"/>
      <x:c r="M120" s="28" t="str">
        <x:v>Open</x:v>
      </x:c>
      <x:c r="N120" s="28" t="str"/>
    </x:row>
    <x:row r="121">
      <x:c r="A121" s="28" t="str">
        <x:v>Week 15</x:v>
      </x:c>
      <x:c r="B121" s="28" t="str">
        <x:v>Sprint 7</x:v>
      </x:c>
      <x:c r="C121" s="42" t="n">
        <x:v>46302</x:v>
      </x:c>
      <x:c r="D121" s="28" t="str">
        <x:v>Technical Writer</x:v>
      </x:c>
      <x:c r="E121" s="28" t="str">
        <x:v>Green</x:v>
      </x:c>
      <x:c r="F121" s="43" t="str"/>
      <x:c r="G121" s="28" t="str"/>
      <x:c r="H121" s="28" t="str"/>
      <x:c r="I121" s="28" t="str"/>
      <x:c r="J121" s="28" t="str"/>
      <x:c r="K121" s="28" t="str">
        <x:v>TBD</x:v>
      </x:c>
      <x:c r="L121" s="42" t="str"/>
      <x:c r="M121" s="28" t="str">
        <x:v>Open</x:v>
      </x:c>
      <x:c r="N121" s="28" t="str"/>
    </x:row>
    <x:row r="122">
      <x:c r="A122" s="28" t="str">
        <x:v>Week 15</x:v>
      </x:c>
      <x:c r="B122" s="28" t="str">
        <x:v>Sprint 7</x:v>
      </x:c>
      <x:c r="C122" s="42" t="n">
        <x:v>46302</x:v>
      </x:c>
      <x:c r="D122" s="28" t="str">
        <x:v>Sales/Marketing/Presales</x:v>
      </x:c>
      <x:c r="E122" s="28" t="str">
        <x:v>Green</x:v>
      </x:c>
      <x:c r="F122" s="43" t="str"/>
      <x:c r="G122" s="28" t="str"/>
      <x:c r="H122" s="28" t="str"/>
      <x:c r="I122" s="28" t="str"/>
      <x:c r="J122" s="28" t="str"/>
      <x:c r="K122" s="28" t="str">
        <x:v>TBD</x:v>
      </x:c>
      <x:c r="L122" s="42" t="str"/>
      <x:c r="M122" s="28" t="str">
        <x:v>Open</x:v>
      </x:c>
      <x:c r="N122" s="28" t="str"/>
    </x:row>
    <x:row r="123">
      <x:c r="A123" s="28" t="str">
        <x:v>Week 16</x:v>
      </x:c>
      <x:c r="B123" s="28" t="str">
        <x:v>Sprint 7</x:v>
      </x:c>
      <x:c r="C123" s="42" t="n">
        <x:v>46309</x:v>
      </x:c>
      <x:c r="D123" s="28" t="str">
        <x:v>Product Owner</x:v>
      </x:c>
      <x:c r="E123" s="28" t="str">
        <x:v>Green</x:v>
      </x:c>
      <x:c r="F123" s="43" t="str"/>
      <x:c r="G123" s="28" t="str"/>
      <x:c r="H123" s="28" t="str"/>
      <x:c r="I123" s="28" t="str"/>
      <x:c r="J123" s="28" t="str"/>
      <x:c r="K123" s="28" t="str">
        <x:v>TBD</x:v>
      </x:c>
      <x:c r="L123" s="42" t="str"/>
      <x:c r="M123" s="28" t="str">
        <x:v>Open</x:v>
      </x:c>
      <x:c r="N123" s="28" t="str"/>
    </x:row>
    <x:row r="124">
      <x:c r="A124" s="28" t="str">
        <x:v>Week 16</x:v>
      </x:c>
      <x:c r="B124" s="28" t="str">
        <x:v>Sprint 7</x:v>
      </x:c>
      <x:c r="C124" s="42" t="n">
        <x:v>46309</x:v>
      </x:c>
      <x:c r="D124" s="28" t="str">
        <x:v>Solution Architect</x:v>
      </x:c>
      <x:c r="E124" s="28" t="str">
        <x:v>Green</x:v>
      </x:c>
      <x:c r="F124" s="43" t="str"/>
      <x:c r="G124" s="28" t="str"/>
      <x:c r="H124" s="28" t="str"/>
      <x:c r="I124" s="28" t="str"/>
      <x:c r="J124" s="28" t="str"/>
      <x:c r="K124" s="28" t="str">
        <x:v>TBD</x:v>
      </x:c>
      <x:c r="L124" s="42" t="str"/>
      <x:c r="M124" s="28" t="str">
        <x:v>Open</x:v>
      </x:c>
      <x:c r="N124" s="28" t="str"/>
    </x:row>
    <x:row r="125">
      <x:c r="A125" s="28" t="str">
        <x:v>Week 16</x:v>
      </x:c>
      <x:c r="B125" s="28" t="str">
        <x:v>Sprint 7</x:v>
      </x:c>
      <x:c r="C125" s="42" t="n">
        <x:v>46309</x:v>
      </x:c>
      <x:c r="D125" s="28" t="str">
        <x:v>Infra/OpenNebula Engineer</x:v>
      </x:c>
      <x:c r="E125" s="28" t="str">
        <x:v>Green</x:v>
      </x:c>
      <x:c r="F125" s="43" t="str"/>
      <x:c r="G125" s="28" t="str"/>
      <x:c r="H125" s="28" t="str"/>
      <x:c r="I125" s="28" t="str"/>
      <x:c r="J125" s="28" t="str"/>
      <x:c r="K125" s="28" t="str">
        <x:v>TBD</x:v>
      </x:c>
      <x:c r="L125" s="42" t="str"/>
      <x:c r="M125" s="28" t="str">
        <x:v>Open</x:v>
      </x:c>
      <x:c r="N125" s="28" t="str"/>
    </x:row>
    <x:row r="126">
      <x:c r="A126" s="28" t="str">
        <x:v>Week 16</x:v>
      </x:c>
      <x:c r="B126" s="28" t="str">
        <x:v>Sprint 7</x:v>
      </x:c>
      <x:c r="C126" s="42" t="n">
        <x:v>46309</x:v>
      </x:c>
      <x:c r="D126" s="28" t="str">
        <x:v>Backend Engineer</x:v>
      </x:c>
      <x:c r="E126" s="28" t="str">
        <x:v>Green</x:v>
      </x:c>
      <x:c r="F126" s="43" t="str"/>
      <x:c r="G126" s="28" t="str"/>
      <x:c r="H126" s="28" t="str"/>
      <x:c r="I126" s="28" t="str"/>
      <x:c r="J126" s="28" t="str"/>
      <x:c r="K126" s="28" t="str">
        <x:v>TBD</x:v>
      </x:c>
      <x:c r="L126" s="42" t="str"/>
      <x:c r="M126" s="28" t="str">
        <x:v>Open</x:v>
      </x:c>
      <x:c r="N126" s="28" t="str"/>
    </x:row>
    <x:row r="127">
      <x:c r="A127" s="28" t="str">
        <x:v>Week 16</x:v>
      </x:c>
      <x:c r="B127" s="28" t="str">
        <x:v>Sprint 7</x:v>
      </x:c>
      <x:c r="C127" s="42" t="n">
        <x:v>46309</x:v>
      </x:c>
      <x:c r="D127" s="28" t="str">
        <x:v>Frontend Engineer</x:v>
      </x:c>
      <x:c r="E127" s="28" t="str">
        <x:v>Green</x:v>
      </x:c>
      <x:c r="F127" s="43" t="str"/>
      <x:c r="G127" s="28" t="str"/>
      <x:c r="H127" s="28" t="str"/>
      <x:c r="I127" s="28" t="str"/>
      <x:c r="J127" s="28" t="str"/>
      <x:c r="K127" s="28" t="str">
        <x:v>TBD</x:v>
      </x:c>
      <x:c r="L127" s="42" t="str"/>
      <x:c r="M127" s="28" t="str">
        <x:v>Open</x:v>
      </x:c>
      <x:c r="N127" s="28" t="str"/>
    </x:row>
    <x:row r="128">
      <x:c r="A128" s="28" t="str">
        <x:v>Week 16</x:v>
      </x:c>
      <x:c r="B128" s="28" t="str">
        <x:v>Sprint 7</x:v>
      </x:c>
      <x:c r="C128" s="42" t="n">
        <x:v>46309</x:v>
      </x:c>
      <x:c r="D128" s="28" t="str">
        <x:v>QA/Tester</x:v>
      </x:c>
      <x:c r="E128" s="28" t="str">
        <x:v>Green</x:v>
      </x:c>
      <x:c r="F128" s="43" t="str"/>
      <x:c r="G128" s="28" t="str"/>
      <x:c r="H128" s="28" t="str"/>
      <x:c r="I128" s="28" t="str"/>
      <x:c r="J128" s="28" t="str"/>
      <x:c r="K128" s="28" t="str">
        <x:v>TBD</x:v>
      </x:c>
      <x:c r="L128" s="42" t="str"/>
      <x:c r="M128" s="28" t="str">
        <x:v>Open</x:v>
      </x:c>
      <x:c r="N128" s="28" t="str"/>
    </x:row>
    <x:row r="129">
      <x:c r="A129" s="28" t="str">
        <x:v>Week 16</x:v>
      </x:c>
      <x:c r="B129" s="28" t="str">
        <x:v>Sprint 7</x:v>
      </x:c>
      <x:c r="C129" s="42" t="n">
        <x:v>46309</x:v>
      </x:c>
      <x:c r="D129" s="28" t="str">
        <x:v>Technical Writer</x:v>
      </x:c>
      <x:c r="E129" s="28" t="str">
        <x:v>Green</x:v>
      </x:c>
      <x:c r="F129" s="43" t="str"/>
      <x:c r="G129" s="28" t="str"/>
      <x:c r="H129" s="28" t="str"/>
      <x:c r="I129" s="28" t="str"/>
      <x:c r="J129" s="28" t="str"/>
      <x:c r="K129" s="28" t="str">
        <x:v>TBD</x:v>
      </x:c>
      <x:c r="L129" s="42" t="str"/>
      <x:c r="M129" s="28" t="str">
        <x:v>Open</x:v>
      </x:c>
      <x:c r="N129" s="28" t="str"/>
    </x:row>
    <x:row r="130">
      <x:c r="A130" s="28" t="str">
        <x:v>Week 16</x:v>
      </x:c>
      <x:c r="B130" s="28" t="str">
        <x:v>Sprint 7</x:v>
      </x:c>
      <x:c r="C130" s="42" t="n">
        <x:v>46309</x:v>
      </x:c>
      <x:c r="D130" s="28" t="str">
        <x:v>Sales/Marketing/Presales</x:v>
      </x:c>
      <x:c r="E130" s="28" t="str">
        <x:v>Green</x:v>
      </x:c>
      <x:c r="F130" s="43" t="str"/>
      <x:c r="G130" s="28" t="str"/>
      <x:c r="H130" s="28" t="str"/>
      <x:c r="I130" s="28" t="str"/>
      <x:c r="J130" s="28" t="str"/>
      <x:c r="K130" s="28" t="str">
        <x:v>TBD</x:v>
      </x:c>
      <x:c r="L130" s="42" t="str"/>
      <x:c r="M130" s="28" t="str">
        <x:v>Open</x:v>
      </x:c>
      <x:c r="N130" s="28" t="str"/>
    </x:row>
    <x:row r="131">
      <x:c r="A131" s="28" t="str">
        <x:v>Week 17</x:v>
      </x:c>
      <x:c r="B131" s="28" t="str">
        <x:v>Sprint 8</x:v>
      </x:c>
      <x:c r="C131" s="42" t="n">
        <x:v>46316</x:v>
      </x:c>
      <x:c r="D131" s="28" t="str">
        <x:v>Product Owner</x:v>
      </x:c>
      <x:c r="E131" s="28" t="str">
        <x:v>Green</x:v>
      </x:c>
      <x:c r="F131" s="43" t="str"/>
      <x:c r="G131" s="28" t="str"/>
      <x:c r="H131" s="28" t="str"/>
      <x:c r="I131" s="28" t="str"/>
      <x:c r="J131" s="28" t="str"/>
      <x:c r="K131" s="28" t="str">
        <x:v>TBD</x:v>
      </x:c>
      <x:c r="L131" s="42" t="str"/>
      <x:c r="M131" s="28" t="str">
        <x:v>Open</x:v>
      </x:c>
      <x:c r="N131" s="28" t="str"/>
    </x:row>
    <x:row r="132">
      <x:c r="A132" s="28" t="str">
        <x:v>Week 17</x:v>
      </x:c>
      <x:c r="B132" s="28" t="str">
        <x:v>Sprint 8</x:v>
      </x:c>
      <x:c r="C132" s="42" t="n">
        <x:v>46316</x:v>
      </x:c>
      <x:c r="D132" s="28" t="str">
        <x:v>Solution Architect</x:v>
      </x:c>
      <x:c r="E132" s="28" t="str">
        <x:v>Green</x:v>
      </x:c>
      <x:c r="F132" s="43" t="str"/>
      <x:c r="G132" s="28" t="str"/>
      <x:c r="H132" s="28" t="str"/>
      <x:c r="I132" s="28" t="str"/>
      <x:c r="J132" s="28" t="str"/>
      <x:c r="K132" s="28" t="str">
        <x:v>TBD</x:v>
      </x:c>
      <x:c r="L132" s="42" t="str"/>
      <x:c r="M132" s="28" t="str">
        <x:v>Open</x:v>
      </x:c>
      <x:c r="N132" s="28" t="str"/>
    </x:row>
    <x:row r="133">
      <x:c r="A133" s="28" t="str">
        <x:v>Week 17</x:v>
      </x:c>
      <x:c r="B133" s="28" t="str">
        <x:v>Sprint 8</x:v>
      </x:c>
      <x:c r="C133" s="42" t="n">
        <x:v>46316</x:v>
      </x:c>
      <x:c r="D133" s="28" t="str">
        <x:v>Infra/OpenNebula Engineer</x:v>
      </x:c>
      <x:c r="E133" s="28" t="str">
        <x:v>Green</x:v>
      </x:c>
      <x:c r="F133" s="43" t="str"/>
      <x:c r="G133" s="28" t="str"/>
      <x:c r="H133" s="28" t="str"/>
      <x:c r="I133" s="28" t="str"/>
      <x:c r="J133" s="28" t="str"/>
      <x:c r="K133" s="28" t="str">
        <x:v>TBD</x:v>
      </x:c>
      <x:c r="L133" s="42" t="str"/>
      <x:c r="M133" s="28" t="str">
        <x:v>Open</x:v>
      </x:c>
      <x:c r="N133" s="28" t="str"/>
    </x:row>
    <x:row r="134">
      <x:c r="A134" s="28" t="str">
        <x:v>Week 17</x:v>
      </x:c>
      <x:c r="B134" s="28" t="str">
        <x:v>Sprint 8</x:v>
      </x:c>
      <x:c r="C134" s="42" t="n">
        <x:v>46316</x:v>
      </x:c>
      <x:c r="D134" s="28" t="str">
        <x:v>Backend Engineer</x:v>
      </x:c>
      <x:c r="E134" s="28" t="str">
        <x:v>Green</x:v>
      </x:c>
      <x:c r="F134" s="43" t="str"/>
      <x:c r="G134" s="28" t="str"/>
      <x:c r="H134" s="28" t="str"/>
      <x:c r="I134" s="28" t="str"/>
      <x:c r="J134" s="28" t="str"/>
      <x:c r="K134" s="28" t="str">
        <x:v>TBD</x:v>
      </x:c>
      <x:c r="L134" s="42" t="str"/>
      <x:c r="M134" s="28" t="str">
        <x:v>Open</x:v>
      </x:c>
      <x:c r="N134" s="28" t="str"/>
    </x:row>
    <x:row r="135">
      <x:c r="A135" s="28" t="str">
        <x:v>Week 17</x:v>
      </x:c>
      <x:c r="B135" s="28" t="str">
        <x:v>Sprint 8</x:v>
      </x:c>
      <x:c r="C135" s="42" t="n">
        <x:v>46316</x:v>
      </x:c>
      <x:c r="D135" s="28" t="str">
        <x:v>Frontend Engineer</x:v>
      </x:c>
      <x:c r="E135" s="28" t="str">
        <x:v>Green</x:v>
      </x:c>
      <x:c r="F135" s="43" t="str"/>
      <x:c r="G135" s="28" t="str"/>
      <x:c r="H135" s="28" t="str"/>
      <x:c r="I135" s="28" t="str"/>
      <x:c r="J135" s="28" t="str"/>
      <x:c r="K135" s="28" t="str">
        <x:v>TBD</x:v>
      </x:c>
      <x:c r="L135" s="42" t="str"/>
      <x:c r="M135" s="28" t="str">
        <x:v>Open</x:v>
      </x:c>
      <x:c r="N135" s="28" t="str"/>
    </x:row>
    <x:row r="136">
      <x:c r="A136" s="28" t="str">
        <x:v>Week 17</x:v>
      </x:c>
      <x:c r="B136" s="28" t="str">
        <x:v>Sprint 8</x:v>
      </x:c>
      <x:c r="C136" s="42" t="n">
        <x:v>46316</x:v>
      </x:c>
      <x:c r="D136" s="28" t="str">
        <x:v>QA/Tester</x:v>
      </x:c>
      <x:c r="E136" s="28" t="str">
        <x:v>Green</x:v>
      </x:c>
      <x:c r="F136" s="43" t="str"/>
      <x:c r="G136" s="28" t="str"/>
      <x:c r="H136" s="28" t="str"/>
      <x:c r="I136" s="28" t="str"/>
      <x:c r="J136" s="28" t="str"/>
      <x:c r="K136" s="28" t="str">
        <x:v>TBD</x:v>
      </x:c>
      <x:c r="L136" s="42" t="str"/>
      <x:c r="M136" s="28" t="str">
        <x:v>Open</x:v>
      </x:c>
      <x:c r="N136" s="28" t="str"/>
    </x:row>
    <x:row r="137">
      <x:c r="A137" s="28" t="str">
        <x:v>Week 17</x:v>
      </x:c>
      <x:c r="B137" s="28" t="str">
        <x:v>Sprint 8</x:v>
      </x:c>
      <x:c r="C137" s="42" t="n">
        <x:v>46316</x:v>
      </x:c>
      <x:c r="D137" s="28" t="str">
        <x:v>Technical Writer</x:v>
      </x:c>
      <x:c r="E137" s="28" t="str">
        <x:v>Green</x:v>
      </x:c>
      <x:c r="F137" s="43" t="str"/>
      <x:c r="G137" s="28" t="str"/>
      <x:c r="H137" s="28" t="str"/>
      <x:c r="I137" s="28" t="str"/>
      <x:c r="J137" s="28" t="str"/>
      <x:c r="K137" s="28" t="str">
        <x:v>TBD</x:v>
      </x:c>
      <x:c r="L137" s="42" t="str"/>
      <x:c r="M137" s="28" t="str">
        <x:v>Open</x:v>
      </x:c>
      <x:c r="N137" s="28" t="str"/>
    </x:row>
    <x:row r="138">
      <x:c r="A138" s="28" t="str">
        <x:v>Week 17</x:v>
      </x:c>
      <x:c r="B138" s="28" t="str">
        <x:v>Sprint 8</x:v>
      </x:c>
      <x:c r="C138" s="42" t="n">
        <x:v>46316</x:v>
      </x:c>
      <x:c r="D138" s="28" t="str">
        <x:v>Sales/Marketing/Presales</x:v>
      </x:c>
      <x:c r="E138" s="28" t="str">
        <x:v>Green</x:v>
      </x:c>
      <x:c r="F138" s="43" t="str"/>
      <x:c r="G138" s="28" t="str"/>
      <x:c r="H138" s="28" t="str"/>
      <x:c r="I138" s="28" t="str"/>
      <x:c r="J138" s="28" t="str"/>
      <x:c r="K138" s="28" t="str">
        <x:v>TBD</x:v>
      </x:c>
      <x:c r="L138" s="42" t="str"/>
      <x:c r="M138" s="28" t="str">
        <x:v>Open</x:v>
      </x:c>
      <x:c r="N138" s="28" t="str"/>
    </x:row>
    <x:row r="139">
      <x:c r="A139" s="28" t="str">
        <x:v>Week 18</x:v>
      </x:c>
      <x:c r="B139" s="28" t="str">
        <x:v>Sprint 8</x:v>
      </x:c>
      <x:c r="C139" s="42" t="n">
        <x:v>46323</x:v>
      </x:c>
      <x:c r="D139" s="28" t="str">
        <x:v>Product Owner</x:v>
      </x:c>
      <x:c r="E139" s="28" t="str">
        <x:v>Green</x:v>
      </x:c>
      <x:c r="F139" s="43" t="str"/>
      <x:c r="G139" s="28" t="str"/>
      <x:c r="H139" s="28" t="str"/>
      <x:c r="I139" s="28" t="str"/>
      <x:c r="J139" s="28" t="str"/>
      <x:c r="K139" s="28" t="str">
        <x:v>TBD</x:v>
      </x:c>
      <x:c r="L139" s="42" t="str"/>
      <x:c r="M139" s="28" t="str">
        <x:v>Open</x:v>
      </x:c>
      <x:c r="N139" s="28" t="str"/>
    </x:row>
    <x:row r="140">
      <x:c r="A140" s="28" t="str">
        <x:v>Week 18</x:v>
      </x:c>
      <x:c r="B140" s="28" t="str">
        <x:v>Sprint 8</x:v>
      </x:c>
      <x:c r="C140" s="42" t="n">
        <x:v>46323</x:v>
      </x:c>
      <x:c r="D140" s="28" t="str">
        <x:v>Solution Architect</x:v>
      </x:c>
      <x:c r="E140" s="28" t="str">
        <x:v>Green</x:v>
      </x:c>
      <x:c r="F140" s="43" t="str"/>
      <x:c r="G140" s="28" t="str"/>
      <x:c r="H140" s="28" t="str"/>
      <x:c r="I140" s="28" t="str"/>
      <x:c r="J140" s="28" t="str"/>
      <x:c r="K140" s="28" t="str">
        <x:v>TBD</x:v>
      </x:c>
      <x:c r="L140" s="42" t="str"/>
      <x:c r="M140" s="28" t="str">
        <x:v>Open</x:v>
      </x:c>
      <x:c r="N140" s="28" t="str"/>
    </x:row>
    <x:row r="141">
      <x:c r="A141" s="28" t="str">
        <x:v>Week 18</x:v>
      </x:c>
      <x:c r="B141" s="28" t="str">
        <x:v>Sprint 8</x:v>
      </x:c>
      <x:c r="C141" s="42" t="n">
        <x:v>46323</x:v>
      </x:c>
      <x:c r="D141" s="28" t="str">
        <x:v>Infra/OpenNebula Engineer</x:v>
      </x:c>
      <x:c r="E141" s="28" t="str">
        <x:v>Green</x:v>
      </x:c>
      <x:c r="F141" s="43" t="str"/>
      <x:c r="G141" s="28" t="str"/>
      <x:c r="H141" s="28" t="str"/>
      <x:c r="I141" s="28" t="str"/>
      <x:c r="J141" s="28" t="str"/>
      <x:c r="K141" s="28" t="str">
        <x:v>TBD</x:v>
      </x:c>
      <x:c r="L141" s="42" t="str"/>
      <x:c r="M141" s="28" t="str">
        <x:v>Open</x:v>
      </x:c>
      <x:c r="N141" s="28" t="str"/>
    </x:row>
    <x:row r="142">
      <x:c r="A142" s="28" t="str">
        <x:v>Week 18</x:v>
      </x:c>
      <x:c r="B142" s="28" t="str">
        <x:v>Sprint 8</x:v>
      </x:c>
      <x:c r="C142" s="42" t="n">
        <x:v>46323</x:v>
      </x:c>
      <x:c r="D142" s="28" t="str">
        <x:v>Backend Engineer</x:v>
      </x:c>
      <x:c r="E142" s="28" t="str">
        <x:v>Green</x:v>
      </x:c>
      <x:c r="F142" s="43" t="str"/>
      <x:c r="G142" s="28" t="str"/>
      <x:c r="H142" s="28" t="str"/>
      <x:c r="I142" s="28" t="str"/>
      <x:c r="J142" s="28" t="str"/>
      <x:c r="K142" s="28" t="str">
        <x:v>TBD</x:v>
      </x:c>
      <x:c r="L142" s="42" t="str"/>
      <x:c r="M142" s="28" t="str">
        <x:v>Open</x:v>
      </x:c>
      <x:c r="N142" s="28" t="str"/>
    </x:row>
    <x:row r="143">
      <x:c r="A143" s="28" t="str">
        <x:v>Week 18</x:v>
      </x:c>
      <x:c r="B143" s="28" t="str">
        <x:v>Sprint 8</x:v>
      </x:c>
      <x:c r="C143" s="42" t="n">
        <x:v>46323</x:v>
      </x:c>
      <x:c r="D143" s="28" t="str">
        <x:v>Frontend Engineer</x:v>
      </x:c>
      <x:c r="E143" s="28" t="str">
        <x:v>Green</x:v>
      </x:c>
      <x:c r="F143" s="43" t="str"/>
      <x:c r="G143" s="28" t="str"/>
      <x:c r="H143" s="28" t="str"/>
      <x:c r="I143" s="28" t="str"/>
      <x:c r="J143" s="28" t="str"/>
      <x:c r="K143" s="28" t="str">
        <x:v>TBD</x:v>
      </x:c>
      <x:c r="L143" s="42" t="str"/>
      <x:c r="M143" s="28" t="str">
        <x:v>Open</x:v>
      </x:c>
      <x:c r="N143" s="28" t="str"/>
    </x:row>
    <x:row r="144">
      <x:c r="A144" s="28" t="str">
        <x:v>Week 18</x:v>
      </x:c>
      <x:c r="B144" s="28" t="str">
        <x:v>Sprint 8</x:v>
      </x:c>
      <x:c r="C144" s="42" t="n">
        <x:v>46323</x:v>
      </x:c>
      <x:c r="D144" s="28" t="str">
        <x:v>QA/Tester</x:v>
      </x:c>
      <x:c r="E144" s="28" t="str">
        <x:v>Green</x:v>
      </x:c>
      <x:c r="F144" s="43" t="str"/>
      <x:c r="G144" s="28" t="str"/>
      <x:c r="H144" s="28" t="str"/>
      <x:c r="I144" s="28" t="str"/>
      <x:c r="J144" s="28" t="str"/>
      <x:c r="K144" s="28" t="str">
        <x:v>TBD</x:v>
      </x:c>
      <x:c r="L144" s="42" t="str"/>
      <x:c r="M144" s="28" t="str">
        <x:v>Open</x:v>
      </x:c>
      <x:c r="N144" s="28" t="str"/>
    </x:row>
    <x:row r="145">
      <x:c r="A145" s="28" t="str">
        <x:v>Week 18</x:v>
      </x:c>
      <x:c r="B145" s="28" t="str">
        <x:v>Sprint 8</x:v>
      </x:c>
      <x:c r="C145" s="42" t="n">
        <x:v>46323</x:v>
      </x:c>
      <x:c r="D145" s="28" t="str">
        <x:v>Technical Writer</x:v>
      </x:c>
      <x:c r="E145" s="28" t="str">
        <x:v>Green</x:v>
      </x:c>
      <x:c r="F145" s="43" t="str"/>
      <x:c r="G145" s="28" t="str"/>
      <x:c r="H145" s="28" t="str"/>
      <x:c r="I145" s="28" t="str"/>
      <x:c r="J145" s="28" t="str"/>
      <x:c r="K145" s="28" t="str">
        <x:v>TBD</x:v>
      </x:c>
      <x:c r="L145" s="42" t="str"/>
      <x:c r="M145" s="28" t="str">
        <x:v>Open</x:v>
      </x:c>
      <x:c r="N145" s="28" t="str"/>
    </x:row>
    <x:row r="146">
      <x:c r="A146" s="28" t="str">
        <x:v>Week 18</x:v>
      </x:c>
      <x:c r="B146" s="28" t="str">
        <x:v>Sprint 8</x:v>
      </x:c>
      <x:c r="C146" s="42" t="n">
        <x:v>46323</x:v>
      </x:c>
      <x:c r="D146" s="28" t="str">
        <x:v>Sales/Marketing/Presales</x:v>
      </x:c>
      <x:c r="E146" s="28" t="str">
        <x:v>Green</x:v>
      </x:c>
      <x:c r="F146" s="43" t="str"/>
      <x:c r="G146" s="28" t="str"/>
      <x:c r="H146" s="28" t="str"/>
      <x:c r="I146" s="28" t="str"/>
      <x:c r="J146" s="28" t="str"/>
      <x:c r="K146" s="28" t="str">
        <x:v>TBD</x:v>
      </x:c>
      <x:c r="L146" s="42" t="str"/>
      <x:c r="M146" s="28" t="str">
        <x:v>Open</x:v>
      </x:c>
      <x:c r="N146" s="28" t="str"/>
    </x:row>
    <x:row r="147">
      <x:c r="A147" s="28" t="str">
        <x:v>Week 19</x:v>
      </x:c>
      <x:c r="B147" s="28" t="str">
        <x:v>Sprint 9</x:v>
      </x:c>
      <x:c r="C147" s="42" t="n">
        <x:v>46330</x:v>
      </x:c>
      <x:c r="D147" s="28" t="str">
        <x:v>Product Owner</x:v>
      </x:c>
      <x:c r="E147" s="28" t="str">
        <x:v>Green</x:v>
      </x:c>
      <x:c r="F147" s="43" t="str"/>
      <x:c r="G147" s="28" t="str"/>
      <x:c r="H147" s="28" t="str"/>
      <x:c r="I147" s="28" t="str"/>
      <x:c r="J147" s="28" t="str"/>
      <x:c r="K147" s="28" t="str">
        <x:v>TBD</x:v>
      </x:c>
      <x:c r="L147" s="42" t="str"/>
      <x:c r="M147" s="28" t="str">
        <x:v>Open</x:v>
      </x:c>
      <x:c r="N147" s="28" t="str"/>
    </x:row>
    <x:row r="148">
      <x:c r="A148" s="28" t="str">
        <x:v>Week 19</x:v>
      </x:c>
      <x:c r="B148" s="28" t="str">
        <x:v>Sprint 9</x:v>
      </x:c>
      <x:c r="C148" s="42" t="n">
        <x:v>46330</x:v>
      </x:c>
      <x:c r="D148" s="28" t="str">
        <x:v>Solution Architect</x:v>
      </x:c>
      <x:c r="E148" s="28" t="str">
        <x:v>Green</x:v>
      </x:c>
      <x:c r="F148" s="43" t="str"/>
      <x:c r="G148" s="28" t="str"/>
      <x:c r="H148" s="28" t="str"/>
      <x:c r="I148" s="28" t="str"/>
      <x:c r="J148" s="28" t="str"/>
      <x:c r="K148" s="28" t="str">
        <x:v>TBD</x:v>
      </x:c>
      <x:c r="L148" s="42" t="str"/>
      <x:c r="M148" s="28" t="str">
        <x:v>Open</x:v>
      </x:c>
      <x:c r="N148" s="28" t="str"/>
    </x:row>
    <x:row r="149">
      <x:c r="A149" s="28" t="str">
        <x:v>Week 19</x:v>
      </x:c>
      <x:c r="B149" s="28" t="str">
        <x:v>Sprint 9</x:v>
      </x:c>
      <x:c r="C149" s="42" t="n">
        <x:v>46330</x:v>
      </x:c>
      <x:c r="D149" s="28" t="str">
        <x:v>Infra/OpenNebula Engineer</x:v>
      </x:c>
      <x:c r="E149" s="28" t="str">
        <x:v>Green</x:v>
      </x:c>
      <x:c r="F149" s="43" t="str"/>
      <x:c r="G149" s="28" t="str"/>
      <x:c r="H149" s="28" t="str"/>
      <x:c r="I149" s="28" t="str"/>
      <x:c r="J149" s="28" t="str"/>
      <x:c r="K149" s="28" t="str">
        <x:v>TBD</x:v>
      </x:c>
      <x:c r="L149" s="42" t="str"/>
      <x:c r="M149" s="28" t="str">
        <x:v>Open</x:v>
      </x:c>
      <x:c r="N149" s="28" t="str"/>
    </x:row>
    <x:row r="150">
      <x:c r="A150" s="28" t="str">
        <x:v>Week 19</x:v>
      </x:c>
      <x:c r="B150" s="28" t="str">
        <x:v>Sprint 9</x:v>
      </x:c>
      <x:c r="C150" s="42" t="n">
        <x:v>46330</x:v>
      </x:c>
      <x:c r="D150" s="28" t="str">
        <x:v>Backend Engineer</x:v>
      </x:c>
      <x:c r="E150" s="28" t="str">
        <x:v>Green</x:v>
      </x:c>
      <x:c r="F150" s="43" t="str"/>
      <x:c r="G150" s="28" t="str"/>
      <x:c r="H150" s="28" t="str"/>
      <x:c r="I150" s="28" t="str"/>
      <x:c r="J150" s="28" t="str"/>
      <x:c r="K150" s="28" t="str">
        <x:v>TBD</x:v>
      </x:c>
      <x:c r="L150" s="42" t="str"/>
      <x:c r="M150" s="28" t="str">
        <x:v>Open</x:v>
      </x:c>
      <x:c r="N150" s="28" t="str"/>
    </x:row>
    <x:row r="151">
      <x:c r="A151" s="28" t="str">
        <x:v>Week 19</x:v>
      </x:c>
      <x:c r="B151" s="28" t="str">
        <x:v>Sprint 9</x:v>
      </x:c>
      <x:c r="C151" s="42" t="n">
        <x:v>46330</x:v>
      </x:c>
      <x:c r="D151" s="28" t="str">
        <x:v>Frontend Engineer</x:v>
      </x:c>
      <x:c r="E151" s="28" t="str">
        <x:v>Green</x:v>
      </x:c>
      <x:c r="F151" s="43" t="str"/>
      <x:c r="G151" s="28" t="str"/>
      <x:c r="H151" s="28" t="str"/>
      <x:c r="I151" s="28" t="str"/>
      <x:c r="J151" s="28" t="str"/>
      <x:c r="K151" s="28" t="str">
        <x:v>TBD</x:v>
      </x:c>
      <x:c r="L151" s="42" t="str"/>
      <x:c r="M151" s="28" t="str">
        <x:v>Open</x:v>
      </x:c>
      <x:c r="N151" s="28" t="str"/>
    </x:row>
    <x:row r="152">
      <x:c r="A152" s="28" t="str">
        <x:v>Week 19</x:v>
      </x:c>
      <x:c r="B152" s="28" t="str">
        <x:v>Sprint 9</x:v>
      </x:c>
      <x:c r="C152" s="42" t="n">
        <x:v>46330</x:v>
      </x:c>
      <x:c r="D152" s="28" t="str">
        <x:v>QA/Tester</x:v>
      </x:c>
      <x:c r="E152" s="28" t="str">
        <x:v>Green</x:v>
      </x:c>
      <x:c r="F152" s="43" t="str"/>
      <x:c r="G152" s="28" t="str"/>
      <x:c r="H152" s="28" t="str"/>
      <x:c r="I152" s="28" t="str"/>
      <x:c r="J152" s="28" t="str"/>
      <x:c r="K152" s="28" t="str">
        <x:v>TBD</x:v>
      </x:c>
      <x:c r="L152" s="42" t="str"/>
      <x:c r="M152" s="28" t="str">
        <x:v>Open</x:v>
      </x:c>
      <x:c r="N152" s="28" t="str"/>
    </x:row>
    <x:row r="153">
      <x:c r="A153" s="28" t="str">
        <x:v>Week 19</x:v>
      </x:c>
      <x:c r="B153" s="28" t="str">
        <x:v>Sprint 9</x:v>
      </x:c>
      <x:c r="C153" s="42" t="n">
        <x:v>46330</x:v>
      </x:c>
      <x:c r="D153" s="28" t="str">
        <x:v>Technical Writer</x:v>
      </x:c>
      <x:c r="E153" s="28" t="str">
        <x:v>Green</x:v>
      </x:c>
      <x:c r="F153" s="43" t="str"/>
      <x:c r="G153" s="28" t="str"/>
      <x:c r="H153" s="28" t="str"/>
      <x:c r="I153" s="28" t="str"/>
      <x:c r="J153" s="28" t="str"/>
      <x:c r="K153" s="28" t="str">
        <x:v>TBD</x:v>
      </x:c>
      <x:c r="L153" s="42" t="str"/>
      <x:c r="M153" s="28" t="str">
        <x:v>Open</x:v>
      </x:c>
      <x:c r="N153" s="28" t="str"/>
    </x:row>
    <x:row r="154">
      <x:c r="A154" s="28" t="str">
        <x:v>Week 19</x:v>
      </x:c>
      <x:c r="B154" s="28" t="str">
        <x:v>Sprint 9</x:v>
      </x:c>
      <x:c r="C154" s="42" t="n">
        <x:v>46330</x:v>
      </x:c>
      <x:c r="D154" s="28" t="str">
        <x:v>Sales/Marketing/Presales</x:v>
      </x:c>
      <x:c r="E154" s="28" t="str">
        <x:v>Green</x:v>
      </x:c>
      <x:c r="F154" s="43" t="str"/>
      <x:c r="G154" s="28" t="str"/>
      <x:c r="H154" s="28" t="str"/>
      <x:c r="I154" s="28" t="str"/>
      <x:c r="J154" s="28" t="str"/>
      <x:c r="K154" s="28" t="str">
        <x:v>TBD</x:v>
      </x:c>
      <x:c r="L154" s="42" t="str"/>
      <x:c r="M154" s="28" t="str">
        <x:v>Open</x:v>
      </x:c>
      <x:c r="N154" s="28" t="str"/>
    </x:row>
    <x:row r="155">
      <x:c r="A155" s="28" t="str">
        <x:v>Week 20</x:v>
      </x:c>
      <x:c r="B155" s="28" t="str">
        <x:v>Sprint 9</x:v>
      </x:c>
      <x:c r="C155" s="42" t="n">
        <x:v>46337</x:v>
      </x:c>
      <x:c r="D155" s="28" t="str">
        <x:v>Product Owner</x:v>
      </x:c>
      <x:c r="E155" s="28" t="str">
        <x:v>Green</x:v>
      </x:c>
      <x:c r="F155" s="43" t="str"/>
      <x:c r="G155" s="28" t="str"/>
      <x:c r="H155" s="28" t="str"/>
      <x:c r="I155" s="28" t="str"/>
      <x:c r="J155" s="28" t="str"/>
      <x:c r="K155" s="28" t="str">
        <x:v>TBD</x:v>
      </x:c>
      <x:c r="L155" s="42" t="str"/>
      <x:c r="M155" s="28" t="str">
        <x:v>Open</x:v>
      </x:c>
      <x:c r="N155" s="28" t="str"/>
    </x:row>
    <x:row r="156">
      <x:c r="A156" s="28" t="str">
        <x:v>Week 20</x:v>
      </x:c>
      <x:c r="B156" s="28" t="str">
        <x:v>Sprint 9</x:v>
      </x:c>
      <x:c r="C156" s="42" t="n">
        <x:v>46337</x:v>
      </x:c>
      <x:c r="D156" s="28" t="str">
        <x:v>Solution Architect</x:v>
      </x:c>
      <x:c r="E156" s="28" t="str">
        <x:v>Green</x:v>
      </x:c>
      <x:c r="F156" s="43" t="str"/>
      <x:c r="G156" s="28" t="str"/>
      <x:c r="H156" s="28" t="str"/>
      <x:c r="I156" s="28" t="str"/>
      <x:c r="J156" s="28" t="str"/>
      <x:c r="K156" s="28" t="str">
        <x:v>TBD</x:v>
      </x:c>
      <x:c r="L156" s="42" t="str"/>
      <x:c r="M156" s="28" t="str">
        <x:v>Open</x:v>
      </x:c>
      <x:c r="N156" s="28" t="str"/>
    </x:row>
    <x:row r="157">
      <x:c r="A157" s="28" t="str">
        <x:v>Week 20</x:v>
      </x:c>
      <x:c r="B157" s="28" t="str">
        <x:v>Sprint 9</x:v>
      </x:c>
      <x:c r="C157" s="42" t="n">
        <x:v>46337</x:v>
      </x:c>
      <x:c r="D157" s="28" t="str">
        <x:v>Infra/OpenNebula Engineer</x:v>
      </x:c>
      <x:c r="E157" s="28" t="str">
        <x:v>Green</x:v>
      </x:c>
      <x:c r="F157" s="43" t="str"/>
      <x:c r="G157" s="28" t="str"/>
      <x:c r="H157" s="28" t="str"/>
      <x:c r="I157" s="28" t="str"/>
      <x:c r="J157" s="28" t="str"/>
      <x:c r="K157" s="28" t="str">
        <x:v>TBD</x:v>
      </x:c>
      <x:c r="L157" s="42" t="str"/>
      <x:c r="M157" s="28" t="str">
        <x:v>Open</x:v>
      </x:c>
      <x:c r="N157" s="28" t="str"/>
    </x:row>
    <x:row r="158">
      <x:c r="A158" s="28" t="str">
        <x:v>Week 20</x:v>
      </x:c>
      <x:c r="B158" s="28" t="str">
        <x:v>Sprint 9</x:v>
      </x:c>
      <x:c r="C158" s="42" t="n">
        <x:v>46337</x:v>
      </x:c>
      <x:c r="D158" s="28" t="str">
        <x:v>Backend Engineer</x:v>
      </x:c>
      <x:c r="E158" s="28" t="str">
        <x:v>Green</x:v>
      </x:c>
      <x:c r="F158" s="43" t="str"/>
      <x:c r="G158" s="28" t="str"/>
      <x:c r="H158" s="28" t="str"/>
      <x:c r="I158" s="28" t="str"/>
      <x:c r="J158" s="28" t="str"/>
      <x:c r="K158" s="28" t="str">
        <x:v>TBD</x:v>
      </x:c>
      <x:c r="L158" s="42" t="str"/>
      <x:c r="M158" s="28" t="str">
        <x:v>Open</x:v>
      </x:c>
      <x:c r="N158" s="28" t="str"/>
    </x:row>
    <x:row r="159">
      <x:c r="A159" s="28" t="str">
        <x:v>Week 20</x:v>
      </x:c>
      <x:c r="B159" s="28" t="str">
        <x:v>Sprint 9</x:v>
      </x:c>
      <x:c r="C159" s="42" t="n">
        <x:v>46337</x:v>
      </x:c>
      <x:c r="D159" s="28" t="str">
        <x:v>Frontend Engineer</x:v>
      </x:c>
      <x:c r="E159" s="28" t="str">
        <x:v>Green</x:v>
      </x:c>
      <x:c r="F159" s="43" t="str"/>
      <x:c r="G159" s="28" t="str"/>
      <x:c r="H159" s="28" t="str"/>
      <x:c r="I159" s="28" t="str"/>
      <x:c r="J159" s="28" t="str"/>
      <x:c r="K159" s="28" t="str">
        <x:v>TBD</x:v>
      </x:c>
      <x:c r="L159" s="42" t="str"/>
      <x:c r="M159" s="28" t="str">
        <x:v>Open</x:v>
      </x:c>
      <x:c r="N159" s="28" t="str"/>
    </x:row>
    <x:row r="160">
      <x:c r="A160" s="28" t="str">
        <x:v>Week 20</x:v>
      </x:c>
      <x:c r="B160" s="28" t="str">
        <x:v>Sprint 9</x:v>
      </x:c>
      <x:c r="C160" s="42" t="n">
        <x:v>46337</x:v>
      </x:c>
      <x:c r="D160" s="28" t="str">
        <x:v>QA/Tester</x:v>
      </x:c>
      <x:c r="E160" s="28" t="str">
        <x:v>Green</x:v>
      </x:c>
      <x:c r="F160" s="43" t="str"/>
      <x:c r="G160" s="28" t="str"/>
      <x:c r="H160" s="28" t="str"/>
      <x:c r="I160" s="28" t="str"/>
      <x:c r="J160" s="28" t="str"/>
      <x:c r="K160" s="28" t="str">
        <x:v>TBD</x:v>
      </x:c>
      <x:c r="L160" s="42" t="str"/>
      <x:c r="M160" s="28" t="str">
        <x:v>Open</x:v>
      </x:c>
      <x:c r="N160" s="28" t="str"/>
    </x:row>
    <x:row r="161">
      <x:c r="A161" s="28" t="str">
        <x:v>Week 20</x:v>
      </x:c>
      <x:c r="B161" s="28" t="str">
        <x:v>Sprint 9</x:v>
      </x:c>
      <x:c r="C161" s="42" t="n">
        <x:v>46337</x:v>
      </x:c>
      <x:c r="D161" s="28" t="str">
        <x:v>Technical Writer</x:v>
      </x:c>
      <x:c r="E161" s="28" t="str">
        <x:v>Green</x:v>
      </x:c>
      <x:c r="F161" s="43" t="str"/>
      <x:c r="G161" s="28" t="str"/>
      <x:c r="H161" s="28" t="str"/>
      <x:c r="I161" s="28" t="str"/>
      <x:c r="J161" s="28" t="str"/>
      <x:c r="K161" s="28" t="str">
        <x:v>TBD</x:v>
      </x:c>
      <x:c r="L161" s="42" t="str"/>
      <x:c r="M161" s="28" t="str">
        <x:v>Open</x:v>
      </x:c>
      <x:c r="N161" s="28" t="str"/>
    </x:row>
    <x:row r="162">
      <x:c r="A162" s="28" t="str">
        <x:v>Week 20</x:v>
      </x:c>
      <x:c r="B162" s="28" t="str">
        <x:v>Sprint 9</x:v>
      </x:c>
      <x:c r="C162" s="42" t="n">
        <x:v>46337</x:v>
      </x:c>
      <x:c r="D162" s="28" t="str">
        <x:v>Sales/Marketing/Presales</x:v>
      </x:c>
      <x:c r="E162" s="28" t="str">
        <x:v>Green</x:v>
      </x:c>
      <x:c r="F162" s="43" t="str"/>
      <x:c r="G162" s="28" t="str"/>
      <x:c r="H162" s="28" t="str"/>
      <x:c r="I162" s="28" t="str"/>
      <x:c r="J162" s="28" t="str"/>
      <x:c r="K162" s="28" t="str">
        <x:v>TBD</x:v>
      </x:c>
      <x:c r="L162" s="42" t="str"/>
      <x:c r="M162" s="28" t="str">
        <x:v>Open</x:v>
      </x:c>
      <x:c r="N162" s="28" t="str"/>
    </x:row>
    <x:row r="163">
      <x:c r="A163" s="28" t="str">
        <x:v>Week 21</x:v>
      </x:c>
      <x:c r="B163" s="28" t="str">
        <x:v>Sprint 10</x:v>
      </x:c>
      <x:c r="C163" s="42" t="n">
        <x:v>46344</x:v>
      </x:c>
      <x:c r="D163" s="28" t="str">
        <x:v>Product Owner</x:v>
      </x:c>
      <x:c r="E163" s="28" t="str">
        <x:v>Green</x:v>
      </x:c>
      <x:c r="F163" s="43" t="str"/>
      <x:c r="G163" s="28" t="str"/>
      <x:c r="H163" s="28" t="str"/>
      <x:c r="I163" s="28" t="str"/>
      <x:c r="J163" s="28" t="str"/>
      <x:c r="K163" s="28" t="str">
        <x:v>TBD</x:v>
      </x:c>
      <x:c r="L163" s="42" t="str"/>
      <x:c r="M163" s="28" t="str">
        <x:v>Open</x:v>
      </x:c>
      <x:c r="N163" s="28" t="str"/>
    </x:row>
    <x:row r="164">
      <x:c r="A164" s="28" t="str">
        <x:v>Week 21</x:v>
      </x:c>
      <x:c r="B164" s="28" t="str">
        <x:v>Sprint 10</x:v>
      </x:c>
      <x:c r="C164" s="42" t="n">
        <x:v>46344</x:v>
      </x:c>
      <x:c r="D164" s="28" t="str">
        <x:v>Solution Architect</x:v>
      </x:c>
      <x:c r="E164" s="28" t="str">
        <x:v>Green</x:v>
      </x:c>
      <x:c r="F164" s="43" t="str"/>
      <x:c r="G164" s="28" t="str"/>
      <x:c r="H164" s="28" t="str"/>
      <x:c r="I164" s="28" t="str"/>
      <x:c r="J164" s="28" t="str"/>
      <x:c r="K164" s="28" t="str">
        <x:v>TBD</x:v>
      </x:c>
      <x:c r="L164" s="42" t="str"/>
      <x:c r="M164" s="28" t="str">
        <x:v>Open</x:v>
      </x:c>
      <x:c r="N164" s="28" t="str"/>
    </x:row>
    <x:row r="165">
      <x:c r="A165" s="28" t="str">
        <x:v>Week 21</x:v>
      </x:c>
      <x:c r="B165" s="28" t="str">
        <x:v>Sprint 10</x:v>
      </x:c>
      <x:c r="C165" s="42" t="n">
        <x:v>46344</x:v>
      </x:c>
      <x:c r="D165" s="28" t="str">
        <x:v>Infra/OpenNebula Engineer</x:v>
      </x:c>
      <x:c r="E165" s="28" t="str">
        <x:v>Green</x:v>
      </x:c>
      <x:c r="F165" s="43" t="str"/>
      <x:c r="G165" s="28" t="str"/>
      <x:c r="H165" s="28" t="str"/>
      <x:c r="I165" s="28" t="str"/>
      <x:c r="J165" s="28" t="str"/>
      <x:c r="K165" s="28" t="str">
        <x:v>TBD</x:v>
      </x:c>
      <x:c r="L165" s="42" t="str"/>
      <x:c r="M165" s="28" t="str">
        <x:v>Open</x:v>
      </x:c>
      <x:c r="N165" s="28" t="str"/>
    </x:row>
    <x:row r="166">
      <x:c r="A166" s="28" t="str">
        <x:v>Week 21</x:v>
      </x:c>
      <x:c r="B166" s="28" t="str">
        <x:v>Sprint 10</x:v>
      </x:c>
      <x:c r="C166" s="42" t="n">
        <x:v>46344</x:v>
      </x:c>
      <x:c r="D166" s="28" t="str">
        <x:v>Backend Engineer</x:v>
      </x:c>
      <x:c r="E166" s="28" t="str">
        <x:v>Green</x:v>
      </x:c>
      <x:c r="F166" s="43" t="str"/>
      <x:c r="G166" s="28" t="str"/>
      <x:c r="H166" s="28" t="str"/>
      <x:c r="I166" s="28" t="str"/>
      <x:c r="J166" s="28" t="str"/>
      <x:c r="K166" s="28" t="str">
        <x:v>TBD</x:v>
      </x:c>
      <x:c r="L166" s="42" t="str"/>
      <x:c r="M166" s="28" t="str">
        <x:v>Open</x:v>
      </x:c>
      <x:c r="N166" s="28" t="str"/>
    </x:row>
    <x:row r="167">
      <x:c r="A167" s="28" t="str">
        <x:v>Week 21</x:v>
      </x:c>
      <x:c r="B167" s="28" t="str">
        <x:v>Sprint 10</x:v>
      </x:c>
      <x:c r="C167" s="42" t="n">
        <x:v>46344</x:v>
      </x:c>
      <x:c r="D167" s="28" t="str">
        <x:v>Frontend Engineer</x:v>
      </x:c>
      <x:c r="E167" s="28" t="str">
        <x:v>Green</x:v>
      </x:c>
      <x:c r="F167" s="43" t="str"/>
      <x:c r="G167" s="28" t="str"/>
      <x:c r="H167" s="28" t="str"/>
      <x:c r="I167" s="28" t="str"/>
      <x:c r="J167" s="28" t="str"/>
      <x:c r="K167" s="28" t="str">
        <x:v>TBD</x:v>
      </x:c>
      <x:c r="L167" s="42" t="str"/>
      <x:c r="M167" s="28" t="str">
        <x:v>Open</x:v>
      </x:c>
      <x:c r="N167" s="28" t="str"/>
    </x:row>
    <x:row r="168">
      <x:c r="A168" s="28" t="str">
        <x:v>Week 21</x:v>
      </x:c>
      <x:c r="B168" s="28" t="str">
        <x:v>Sprint 10</x:v>
      </x:c>
      <x:c r="C168" s="42" t="n">
        <x:v>46344</x:v>
      </x:c>
      <x:c r="D168" s="28" t="str">
        <x:v>QA/Tester</x:v>
      </x:c>
      <x:c r="E168" s="28" t="str">
        <x:v>Green</x:v>
      </x:c>
      <x:c r="F168" s="43" t="str"/>
      <x:c r="G168" s="28" t="str"/>
      <x:c r="H168" s="28" t="str"/>
      <x:c r="I168" s="28" t="str"/>
      <x:c r="J168" s="28" t="str"/>
      <x:c r="K168" s="28" t="str">
        <x:v>TBD</x:v>
      </x:c>
      <x:c r="L168" s="42" t="str"/>
      <x:c r="M168" s="28" t="str">
        <x:v>Open</x:v>
      </x:c>
      <x:c r="N168" s="28" t="str"/>
    </x:row>
    <x:row r="169">
      <x:c r="A169" s="28" t="str">
        <x:v>Week 21</x:v>
      </x:c>
      <x:c r="B169" s="28" t="str">
        <x:v>Sprint 10</x:v>
      </x:c>
      <x:c r="C169" s="42" t="n">
        <x:v>46344</x:v>
      </x:c>
      <x:c r="D169" s="28" t="str">
        <x:v>Technical Writer</x:v>
      </x:c>
      <x:c r="E169" s="28" t="str">
        <x:v>Green</x:v>
      </x:c>
      <x:c r="F169" s="43" t="str"/>
      <x:c r="G169" s="28" t="str"/>
      <x:c r="H169" s="28" t="str"/>
      <x:c r="I169" s="28" t="str"/>
      <x:c r="J169" s="28" t="str"/>
      <x:c r="K169" s="28" t="str">
        <x:v>TBD</x:v>
      </x:c>
      <x:c r="L169" s="42" t="str"/>
      <x:c r="M169" s="28" t="str">
        <x:v>Open</x:v>
      </x:c>
      <x:c r="N169" s="28" t="str"/>
    </x:row>
    <x:row r="170">
      <x:c r="A170" s="28" t="str">
        <x:v>Week 21</x:v>
      </x:c>
      <x:c r="B170" s="28" t="str">
        <x:v>Sprint 10</x:v>
      </x:c>
      <x:c r="C170" s="42" t="n">
        <x:v>46344</x:v>
      </x:c>
      <x:c r="D170" s="28" t="str">
        <x:v>Sales/Marketing/Presales</x:v>
      </x:c>
      <x:c r="E170" s="28" t="str">
        <x:v>Green</x:v>
      </x:c>
      <x:c r="F170" s="43" t="str"/>
      <x:c r="G170" s="28" t="str"/>
      <x:c r="H170" s="28" t="str"/>
      <x:c r="I170" s="28" t="str"/>
      <x:c r="J170" s="28" t="str"/>
      <x:c r="K170" s="28" t="str">
        <x:v>TBD</x:v>
      </x:c>
      <x:c r="L170" s="42" t="str"/>
      <x:c r="M170" s="28" t="str">
        <x:v>Open</x:v>
      </x:c>
      <x:c r="N170" s="28" t="str"/>
    </x:row>
    <x:row r="171">
      <x:c r="A171" s="28" t="str">
        <x:v>Week 22</x:v>
      </x:c>
      <x:c r="B171" s="28" t="str">
        <x:v>Sprint 10</x:v>
      </x:c>
      <x:c r="C171" s="42" t="n">
        <x:v>46351</x:v>
      </x:c>
      <x:c r="D171" s="28" t="str">
        <x:v>Product Owner</x:v>
      </x:c>
      <x:c r="E171" s="28" t="str">
        <x:v>Green</x:v>
      </x:c>
      <x:c r="F171" s="43" t="str"/>
      <x:c r="G171" s="28" t="str"/>
      <x:c r="H171" s="28" t="str"/>
      <x:c r="I171" s="28" t="str"/>
      <x:c r="J171" s="28" t="str"/>
      <x:c r="K171" s="28" t="str">
        <x:v>TBD</x:v>
      </x:c>
      <x:c r="L171" s="42" t="str"/>
      <x:c r="M171" s="28" t="str">
        <x:v>Open</x:v>
      </x:c>
      <x:c r="N171" s="28" t="str"/>
    </x:row>
    <x:row r="172">
      <x:c r="A172" s="28" t="str">
        <x:v>Week 22</x:v>
      </x:c>
      <x:c r="B172" s="28" t="str">
        <x:v>Sprint 10</x:v>
      </x:c>
      <x:c r="C172" s="42" t="n">
        <x:v>46351</x:v>
      </x:c>
      <x:c r="D172" s="28" t="str">
        <x:v>Solution Architect</x:v>
      </x:c>
      <x:c r="E172" s="28" t="str">
        <x:v>Green</x:v>
      </x:c>
      <x:c r="F172" s="43" t="str"/>
      <x:c r="G172" s="28" t="str"/>
      <x:c r="H172" s="28" t="str"/>
      <x:c r="I172" s="28" t="str"/>
      <x:c r="J172" s="28" t="str"/>
      <x:c r="K172" s="28" t="str">
        <x:v>TBD</x:v>
      </x:c>
      <x:c r="L172" s="42" t="str"/>
      <x:c r="M172" s="28" t="str">
        <x:v>Open</x:v>
      </x:c>
      <x:c r="N172" s="28" t="str"/>
    </x:row>
    <x:row r="173">
      <x:c r="A173" s="28" t="str">
        <x:v>Week 22</x:v>
      </x:c>
      <x:c r="B173" s="28" t="str">
        <x:v>Sprint 10</x:v>
      </x:c>
      <x:c r="C173" s="42" t="n">
        <x:v>46351</x:v>
      </x:c>
      <x:c r="D173" s="28" t="str">
        <x:v>Infra/OpenNebula Engineer</x:v>
      </x:c>
      <x:c r="E173" s="28" t="str">
        <x:v>Green</x:v>
      </x:c>
      <x:c r="F173" s="43" t="str"/>
      <x:c r="G173" s="28" t="str"/>
      <x:c r="H173" s="28" t="str"/>
      <x:c r="I173" s="28" t="str"/>
      <x:c r="J173" s="28" t="str"/>
      <x:c r="K173" s="28" t="str">
        <x:v>TBD</x:v>
      </x:c>
      <x:c r="L173" s="42" t="str"/>
      <x:c r="M173" s="28" t="str">
        <x:v>Open</x:v>
      </x:c>
      <x:c r="N173" s="28" t="str"/>
    </x:row>
    <x:row r="174">
      <x:c r="A174" s="28" t="str">
        <x:v>Week 22</x:v>
      </x:c>
      <x:c r="B174" s="28" t="str">
        <x:v>Sprint 10</x:v>
      </x:c>
      <x:c r="C174" s="42" t="n">
        <x:v>46351</x:v>
      </x:c>
      <x:c r="D174" s="28" t="str">
        <x:v>Backend Engineer</x:v>
      </x:c>
      <x:c r="E174" s="28" t="str">
        <x:v>Green</x:v>
      </x:c>
      <x:c r="F174" s="43" t="str"/>
      <x:c r="G174" s="28" t="str"/>
      <x:c r="H174" s="28" t="str"/>
      <x:c r="I174" s="28" t="str"/>
      <x:c r="J174" s="28" t="str"/>
      <x:c r="K174" s="28" t="str">
        <x:v>TBD</x:v>
      </x:c>
      <x:c r="L174" s="42" t="str"/>
      <x:c r="M174" s="28" t="str">
        <x:v>Open</x:v>
      </x:c>
      <x:c r="N174" s="28" t="str"/>
    </x:row>
    <x:row r="175">
      <x:c r="A175" s="28" t="str">
        <x:v>Week 22</x:v>
      </x:c>
      <x:c r="B175" s="28" t="str">
        <x:v>Sprint 10</x:v>
      </x:c>
      <x:c r="C175" s="42" t="n">
        <x:v>46351</x:v>
      </x:c>
      <x:c r="D175" s="28" t="str">
        <x:v>Frontend Engineer</x:v>
      </x:c>
      <x:c r="E175" s="28" t="str">
        <x:v>Green</x:v>
      </x:c>
      <x:c r="F175" s="43" t="str"/>
      <x:c r="G175" s="28" t="str"/>
      <x:c r="H175" s="28" t="str"/>
      <x:c r="I175" s="28" t="str"/>
      <x:c r="J175" s="28" t="str"/>
      <x:c r="K175" s="28" t="str">
        <x:v>TBD</x:v>
      </x:c>
      <x:c r="L175" s="42" t="str"/>
      <x:c r="M175" s="28" t="str">
        <x:v>Open</x:v>
      </x:c>
      <x:c r="N175" s="28" t="str"/>
    </x:row>
    <x:row r="176">
      <x:c r="A176" s="28" t="str">
        <x:v>Week 22</x:v>
      </x:c>
      <x:c r="B176" s="28" t="str">
        <x:v>Sprint 10</x:v>
      </x:c>
      <x:c r="C176" s="42" t="n">
        <x:v>46351</x:v>
      </x:c>
      <x:c r="D176" s="28" t="str">
        <x:v>QA/Tester</x:v>
      </x:c>
      <x:c r="E176" s="28" t="str">
        <x:v>Green</x:v>
      </x:c>
      <x:c r="F176" s="43" t="str"/>
      <x:c r="G176" s="28" t="str"/>
      <x:c r="H176" s="28" t="str"/>
      <x:c r="I176" s="28" t="str"/>
      <x:c r="J176" s="28" t="str"/>
      <x:c r="K176" s="28" t="str">
        <x:v>TBD</x:v>
      </x:c>
      <x:c r="L176" s="42" t="str"/>
      <x:c r="M176" s="28" t="str">
        <x:v>Open</x:v>
      </x:c>
      <x:c r="N176" s="28" t="str"/>
    </x:row>
    <x:row r="177">
      <x:c r="A177" s="28" t="str">
        <x:v>Week 22</x:v>
      </x:c>
      <x:c r="B177" s="28" t="str">
        <x:v>Sprint 10</x:v>
      </x:c>
      <x:c r="C177" s="42" t="n">
        <x:v>46351</x:v>
      </x:c>
      <x:c r="D177" s="28" t="str">
        <x:v>Technical Writer</x:v>
      </x:c>
      <x:c r="E177" s="28" t="str">
        <x:v>Green</x:v>
      </x:c>
      <x:c r="F177" s="43" t="str"/>
      <x:c r="G177" s="28" t="str"/>
      <x:c r="H177" s="28" t="str"/>
      <x:c r="I177" s="28" t="str"/>
      <x:c r="J177" s="28" t="str"/>
      <x:c r="K177" s="28" t="str">
        <x:v>TBD</x:v>
      </x:c>
      <x:c r="L177" s="42" t="str"/>
      <x:c r="M177" s="28" t="str">
        <x:v>Open</x:v>
      </x:c>
      <x:c r="N177" s="28" t="str"/>
    </x:row>
    <x:row r="178">
      <x:c r="A178" s="28" t="str">
        <x:v>Week 22</x:v>
      </x:c>
      <x:c r="B178" s="28" t="str">
        <x:v>Sprint 10</x:v>
      </x:c>
      <x:c r="C178" s="42" t="n">
        <x:v>46351</x:v>
      </x:c>
      <x:c r="D178" s="28" t="str">
        <x:v>Sales/Marketing/Presales</x:v>
      </x:c>
      <x:c r="E178" s="28" t="str">
        <x:v>Green</x:v>
      </x:c>
      <x:c r="F178" s="43" t="str"/>
      <x:c r="G178" s="28" t="str"/>
      <x:c r="H178" s="28" t="str"/>
      <x:c r="I178" s="28" t="str"/>
      <x:c r="J178" s="28" t="str"/>
      <x:c r="K178" s="28" t="str">
        <x:v>TBD</x:v>
      </x:c>
      <x:c r="L178" s="42" t="str"/>
      <x:c r="M178" s="28" t="str">
        <x:v>Open</x:v>
      </x:c>
      <x:c r="N178" s="28" t="str"/>
    </x:row>
    <x:row r="179">
      <x:c r="A179" s="28" t="str">
        <x:v>Week 23</x:v>
      </x:c>
      <x:c r="B179" s="28" t="str">
        <x:v>Sprint 11</x:v>
      </x:c>
      <x:c r="C179" s="42" t="n">
        <x:v>46358</x:v>
      </x:c>
      <x:c r="D179" s="28" t="str">
        <x:v>Product Owner</x:v>
      </x:c>
      <x:c r="E179" s="28" t="str">
        <x:v>Green</x:v>
      </x:c>
      <x:c r="F179" s="43" t="str"/>
      <x:c r="G179" s="28" t="str"/>
      <x:c r="H179" s="28" t="str"/>
      <x:c r="I179" s="28" t="str"/>
      <x:c r="J179" s="28" t="str"/>
      <x:c r="K179" s="28" t="str">
        <x:v>TBD</x:v>
      </x:c>
      <x:c r="L179" s="42" t="str"/>
      <x:c r="M179" s="28" t="str">
        <x:v>Open</x:v>
      </x:c>
      <x:c r="N179" s="28" t="str"/>
    </x:row>
    <x:row r="180">
      <x:c r="A180" s="28" t="str">
        <x:v>Week 23</x:v>
      </x:c>
      <x:c r="B180" s="28" t="str">
        <x:v>Sprint 11</x:v>
      </x:c>
      <x:c r="C180" s="42" t="n">
        <x:v>46358</x:v>
      </x:c>
      <x:c r="D180" s="28" t="str">
        <x:v>Solution Architect</x:v>
      </x:c>
      <x:c r="E180" s="28" t="str">
        <x:v>Green</x:v>
      </x:c>
      <x:c r="F180" s="43" t="str"/>
      <x:c r="G180" s="28" t="str"/>
      <x:c r="H180" s="28" t="str"/>
      <x:c r="I180" s="28" t="str"/>
      <x:c r="J180" s="28" t="str"/>
      <x:c r="K180" s="28" t="str">
        <x:v>TBD</x:v>
      </x:c>
      <x:c r="L180" s="42" t="str"/>
      <x:c r="M180" s="28" t="str">
        <x:v>Open</x:v>
      </x:c>
      <x:c r="N180" s="28" t="str"/>
    </x:row>
    <x:row r="181">
      <x:c r="A181" s="28" t="str">
        <x:v>Week 23</x:v>
      </x:c>
      <x:c r="B181" s="28" t="str">
        <x:v>Sprint 11</x:v>
      </x:c>
      <x:c r="C181" s="42" t="n">
        <x:v>46358</x:v>
      </x:c>
      <x:c r="D181" s="28" t="str">
        <x:v>Infra/OpenNebula Engineer</x:v>
      </x:c>
      <x:c r="E181" s="28" t="str">
        <x:v>Green</x:v>
      </x:c>
      <x:c r="F181" s="43" t="str"/>
      <x:c r="G181" s="28" t="str"/>
      <x:c r="H181" s="28" t="str"/>
      <x:c r="I181" s="28" t="str"/>
      <x:c r="J181" s="28" t="str"/>
      <x:c r="K181" s="28" t="str">
        <x:v>TBD</x:v>
      </x:c>
      <x:c r="L181" s="42" t="str"/>
      <x:c r="M181" s="28" t="str">
        <x:v>Open</x:v>
      </x:c>
      <x:c r="N181" s="28" t="str"/>
    </x:row>
    <x:row r="182">
      <x:c r="A182" s="28" t="str">
        <x:v>Week 23</x:v>
      </x:c>
      <x:c r="B182" s="28" t="str">
        <x:v>Sprint 11</x:v>
      </x:c>
      <x:c r="C182" s="42" t="n">
        <x:v>46358</x:v>
      </x:c>
      <x:c r="D182" s="28" t="str">
        <x:v>Backend Engineer</x:v>
      </x:c>
      <x:c r="E182" s="28" t="str">
        <x:v>Green</x:v>
      </x:c>
      <x:c r="F182" s="43" t="str"/>
      <x:c r="G182" s="28" t="str"/>
      <x:c r="H182" s="28" t="str"/>
      <x:c r="I182" s="28" t="str"/>
      <x:c r="J182" s="28" t="str"/>
      <x:c r="K182" s="28" t="str">
        <x:v>TBD</x:v>
      </x:c>
      <x:c r="L182" s="42" t="str"/>
      <x:c r="M182" s="28" t="str">
        <x:v>Open</x:v>
      </x:c>
      <x:c r="N182" s="28" t="str"/>
    </x:row>
    <x:row r="183">
      <x:c r="A183" s="28" t="str">
        <x:v>Week 23</x:v>
      </x:c>
      <x:c r="B183" s="28" t="str">
        <x:v>Sprint 11</x:v>
      </x:c>
      <x:c r="C183" s="42" t="n">
        <x:v>46358</x:v>
      </x:c>
      <x:c r="D183" s="28" t="str">
        <x:v>Frontend Engineer</x:v>
      </x:c>
      <x:c r="E183" s="28" t="str">
        <x:v>Green</x:v>
      </x:c>
      <x:c r="F183" s="43" t="str"/>
      <x:c r="G183" s="28" t="str"/>
      <x:c r="H183" s="28" t="str"/>
      <x:c r="I183" s="28" t="str"/>
      <x:c r="J183" s="28" t="str"/>
      <x:c r="K183" s="28" t="str">
        <x:v>TBD</x:v>
      </x:c>
      <x:c r="L183" s="42" t="str"/>
      <x:c r="M183" s="28" t="str">
        <x:v>Open</x:v>
      </x:c>
      <x:c r="N183" s="28" t="str"/>
    </x:row>
    <x:row r="184">
      <x:c r="A184" s="28" t="str">
        <x:v>Week 23</x:v>
      </x:c>
      <x:c r="B184" s="28" t="str">
        <x:v>Sprint 11</x:v>
      </x:c>
      <x:c r="C184" s="42" t="n">
        <x:v>46358</x:v>
      </x:c>
      <x:c r="D184" s="28" t="str">
        <x:v>QA/Tester</x:v>
      </x:c>
      <x:c r="E184" s="28" t="str">
        <x:v>Green</x:v>
      </x:c>
      <x:c r="F184" s="43" t="str"/>
      <x:c r="G184" s="28" t="str"/>
      <x:c r="H184" s="28" t="str"/>
      <x:c r="I184" s="28" t="str"/>
      <x:c r="J184" s="28" t="str"/>
      <x:c r="K184" s="28" t="str">
        <x:v>TBD</x:v>
      </x:c>
      <x:c r="L184" s="42" t="str"/>
      <x:c r="M184" s="28" t="str">
        <x:v>Open</x:v>
      </x:c>
      <x:c r="N184" s="28" t="str"/>
    </x:row>
    <x:row r="185">
      <x:c r="A185" s="28" t="str">
        <x:v>Week 23</x:v>
      </x:c>
      <x:c r="B185" s="28" t="str">
        <x:v>Sprint 11</x:v>
      </x:c>
      <x:c r="C185" s="42" t="n">
        <x:v>46358</x:v>
      </x:c>
      <x:c r="D185" s="28" t="str">
        <x:v>Technical Writer</x:v>
      </x:c>
      <x:c r="E185" s="28" t="str">
        <x:v>Green</x:v>
      </x:c>
      <x:c r="F185" s="43" t="str"/>
      <x:c r="G185" s="28" t="str"/>
      <x:c r="H185" s="28" t="str"/>
      <x:c r="I185" s="28" t="str"/>
      <x:c r="J185" s="28" t="str"/>
      <x:c r="K185" s="28" t="str">
        <x:v>TBD</x:v>
      </x:c>
      <x:c r="L185" s="42" t="str"/>
      <x:c r="M185" s="28" t="str">
        <x:v>Open</x:v>
      </x:c>
      <x:c r="N185" s="28" t="str"/>
    </x:row>
    <x:row r="186">
      <x:c r="A186" s="28" t="str">
        <x:v>Week 23</x:v>
      </x:c>
      <x:c r="B186" s="28" t="str">
        <x:v>Sprint 11</x:v>
      </x:c>
      <x:c r="C186" s="42" t="n">
        <x:v>46358</x:v>
      </x:c>
      <x:c r="D186" s="28" t="str">
        <x:v>Sales/Marketing/Presales</x:v>
      </x:c>
      <x:c r="E186" s="28" t="str">
        <x:v>Green</x:v>
      </x:c>
      <x:c r="F186" s="43" t="str"/>
      <x:c r="G186" s="28" t="str"/>
      <x:c r="H186" s="28" t="str"/>
      <x:c r="I186" s="28" t="str"/>
      <x:c r="J186" s="28" t="str"/>
      <x:c r="K186" s="28" t="str">
        <x:v>TBD</x:v>
      </x:c>
      <x:c r="L186" s="42" t="str"/>
      <x:c r="M186" s="28" t="str">
        <x:v>Open</x:v>
      </x:c>
      <x:c r="N186" s="28" t="str"/>
    </x:row>
    <x:row r="187">
      <x:c r="A187" s="28" t="str">
        <x:v>Week 24</x:v>
      </x:c>
      <x:c r="B187" s="28" t="str">
        <x:v>Sprint 11</x:v>
      </x:c>
      <x:c r="C187" s="42" t="n">
        <x:v>46365</x:v>
      </x:c>
      <x:c r="D187" s="28" t="str">
        <x:v>Product Owner</x:v>
      </x:c>
      <x:c r="E187" s="28" t="str">
        <x:v>Green</x:v>
      </x:c>
      <x:c r="F187" s="43" t="str"/>
      <x:c r="G187" s="28" t="str"/>
      <x:c r="H187" s="28" t="str"/>
      <x:c r="I187" s="28" t="str"/>
      <x:c r="J187" s="28" t="str"/>
      <x:c r="K187" s="28" t="str">
        <x:v>TBD</x:v>
      </x:c>
      <x:c r="L187" s="42" t="str"/>
      <x:c r="M187" s="28" t="str">
        <x:v>Open</x:v>
      </x:c>
      <x:c r="N187" s="28" t="str"/>
    </x:row>
    <x:row r="188">
      <x:c r="A188" s="28" t="str">
        <x:v>Week 24</x:v>
      </x:c>
      <x:c r="B188" s="28" t="str">
        <x:v>Sprint 11</x:v>
      </x:c>
      <x:c r="C188" s="42" t="n">
        <x:v>46365</x:v>
      </x:c>
      <x:c r="D188" s="28" t="str">
        <x:v>Solution Architect</x:v>
      </x:c>
      <x:c r="E188" s="28" t="str">
        <x:v>Green</x:v>
      </x:c>
      <x:c r="F188" s="43" t="str"/>
      <x:c r="G188" s="28" t="str"/>
      <x:c r="H188" s="28" t="str"/>
      <x:c r="I188" s="28" t="str"/>
      <x:c r="J188" s="28" t="str"/>
      <x:c r="K188" s="28" t="str">
        <x:v>TBD</x:v>
      </x:c>
      <x:c r="L188" s="42" t="str"/>
      <x:c r="M188" s="28" t="str">
        <x:v>Open</x:v>
      </x:c>
      <x:c r="N188" s="28" t="str"/>
    </x:row>
    <x:row r="189">
      <x:c r="A189" s="28" t="str">
        <x:v>Week 24</x:v>
      </x:c>
      <x:c r="B189" s="28" t="str">
        <x:v>Sprint 11</x:v>
      </x:c>
      <x:c r="C189" s="42" t="n">
        <x:v>46365</x:v>
      </x:c>
      <x:c r="D189" s="28" t="str">
        <x:v>Infra/OpenNebula Engineer</x:v>
      </x:c>
      <x:c r="E189" s="28" t="str">
        <x:v>Green</x:v>
      </x:c>
      <x:c r="F189" s="43" t="str"/>
      <x:c r="G189" s="28" t="str"/>
      <x:c r="H189" s="28" t="str"/>
      <x:c r="I189" s="28" t="str"/>
      <x:c r="J189" s="28" t="str"/>
      <x:c r="K189" s="28" t="str">
        <x:v>TBD</x:v>
      </x:c>
      <x:c r="L189" s="42" t="str"/>
      <x:c r="M189" s="28" t="str">
        <x:v>Open</x:v>
      </x:c>
      <x:c r="N189" s="28" t="str"/>
    </x:row>
    <x:row r="190">
      <x:c r="A190" s="28" t="str">
        <x:v>Week 24</x:v>
      </x:c>
      <x:c r="B190" s="28" t="str">
        <x:v>Sprint 11</x:v>
      </x:c>
      <x:c r="C190" s="42" t="n">
        <x:v>46365</x:v>
      </x:c>
      <x:c r="D190" s="28" t="str">
        <x:v>Backend Engineer</x:v>
      </x:c>
      <x:c r="E190" s="28" t="str">
        <x:v>Green</x:v>
      </x:c>
      <x:c r="F190" s="43" t="str"/>
      <x:c r="G190" s="28" t="str"/>
      <x:c r="H190" s="28" t="str"/>
      <x:c r="I190" s="28" t="str"/>
      <x:c r="J190" s="28" t="str"/>
      <x:c r="K190" s="28" t="str">
        <x:v>TBD</x:v>
      </x:c>
      <x:c r="L190" s="42" t="str"/>
      <x:c r="M190" s="28" t="str">
        <x:v>Open</x:v>
      </x:c>
      <x:c r="N190" s="28" t="str"/>
    </x:row>
    <x:row r="191">
      <x:c r="A191" s="28" t="str">
        <x:v>Week 24</x:v>
      </x:c>
      <x:c r="B191" s="28" t="str">
        <x:v>Sprint 11</x:v>
      </x:c>
      <x:c r="C191" s="42" t="n">
        <x:v>46365</x:v>
      </x:c>
      <x:c r="D191" s="28" t="str">
        <x:v>Frontend Engineer</x:v>
      </x:c>
      <x:c r="E191" s="28" t="str">
        <x:v>Green</x:v>
      </x:c>
      <x:c r="F191" s="43" t="str"/>
      <x:c r="G191" s="28" t="str"/>
      <x:c r="H191" s="28" t="str"/>
      <x:c r="I191" s="28" t="str"/>
      <x:c r="J191" s="28" t="str"/>
      <x:c r="K191" s="28" t="str">
        <x:v>TBD</x:v>
      </x:c>
      <x:c r="L191" s="42" t="str"/>
      <x:c r="M191" s="28" t="str">
        <x:v>Open</x:v>
      </x:c>
      <x:c r="N191" s="28" t="str"/>
    </x:row>
    <x:row r="192">
      <x:c r="A192" s="28" t="str">
        <x:v>Week 24</x:v>
      </x:c>
      <x:c r="B192" s="28" t="str">
        <x:v>Sprint 11</x:v>
      </x:c>
      <x:c r="C192" s="42" t="n">
        <x:v>46365</x:v>
      </x:c>
      <x:c r="D192" s="28" t="str">
        <x:v>QA/Tester</x:v>
      </x:c>
      <x:c r="E192" s="28" t="str">
        <x:v>Green</x:v>
      </x:c>
      <x:c r="F192" s="43" t="str"/>
      <x:c r="G192" s="28" t="str"/>
      <x:c r="H192" s="28" t="str"/>
      <x:c r="I192" s="28" t="str"/>
      <x:c r="J192" s="28" t="str"/>
      <x:c r="K192" s="28" t="str">
        <x:v>TBD</x:v>
      </x:c>
      <x:c r="L192" s="42" t="str"/>
      <x:c r="M192" s="28" t="str">
        <x:v>Open</x:v>
      </x:c>
      <x:c r="N192" s="28" t="str"/>
    </x:row>
    <x:row r="193">
      <x:c r="A193" s="28" t="str">
        <x:v>Week 24</x:v>
      </x:c>
      <x:c r="B193" s="28" t="str">
        <x:v>Sprint 11</x:v>
      </x:c>
      <x:c r="C193" s="42" t="n">
        <x:v>46365</x:v>
      </x:c>
      <x:c r="D193" s="28" t="str">
        <x:v>Technical Writer</x:v>
      </x:c>
      <x:c r="E193" s="28" t="str">
        <x:v>Green</x:v>
      </x:c>
      <x:c r="F193" s="43" t="str"/>
      <x:c r="G193" s="28" t="str"/>
      <x:c r="H193" s="28" t="str"/>
      <x:c r="I193" s="28" t="str"/>
      <x:c r="J193" s="28" t="str"/>
      <x:c r="K193" s="28" t="str">
        <x:v>TBD</x:v>
      </x:c>
      <x:c r="L193" s="42" t="str"/>
      <x:c r="M193" s="28" t="str">
        <x:v>Open</x:v>
      </x:c>
      <x:c r="N193" s="28" t="str"/>
    </x:row>
    <x:row r="194">
      <x:c r="A194" s="28" t="str">
        <x:v>Week 24</x:v>
      </x:c>
      <x:c r="B194" s="28" t="str">
        <x:v>Sprint 11</x:v>
      </x:c>
      <x:c r="C194" s="42" t="n">
        <x:v>46365</x:v>
      </x:c>
      <x:c r="D194" s="28" t="str">
        <x:v>Sales/Marketing/Presales</x:v>
      </x:c>
      <x:c r="E194" s="28" t="str">
        <x:v>Green</x:v>
      </x:c>
      <x:c r="F194" s="43" t="str"/>
      <x:c r="G194" s="28" t="str"/>
      <x:c r="H194" s="28" t="str"/>
      <x:c r="I194" s="28" t="str"/>
      <x:c r="J194" s="28" t="str"/>
      <x:c r="K194" s="28" t="str">
        <x:v>TBD</x:v>
      </x:c>
      <x:c r="L194" s="42" t="str"/>
      <x:c r="M194" s="28" t="str">
        <x:v>Open</x:v>
      </x:c>
      <x:c r="N194" s="28" t="str"/>
    </x:row>
  </x:sheetData>
  <x:mergeCells>
    <x:mergeCell ref="A1:N1"/>
  </x:mergeCells>
  <x:conditionalFormatting sqref="E3:E194">
    <x:cfRule type="expression" dxfId="16" priority="1">
      <x:formula>E3="Green"</x:formula>
    </x:cfRule>
    <x:cfRule type="expression" dxfId="17" priority="2">
      <x:formula>E3="Yellow"</x:formula>
    </x:cfRule>
    <x:cfRule type="expression" dxfId="18" priority="3">
      <x:formula>E3="Red"</x:formula>
    </x:cfRule>
    <x:cfRule type="expression" dxfId="19" priority="4">
      <x:formula>E3="Black"</x:formula>
    </x:cfRule>
  </x:conditionalFormatting>
  <x:dataValidations count="4">
    <x:dataValidation type="list" sqref="B3:B194">
      <x:formula1>'Sprint Plan'!$A$9:$A$20</x:formula1>
    </x:dataValidation>
    <x:dataValidation type="list" sqref="D3:D194">
      <x:formula1>Lookups!$D$2:$D$9</x:formula1>
    </x:dataValidation>
    <x:dataValidation type="list" sqref="E3:E194">
      <x:formula1>Lookups!$C$2:$C$5</x:formula1>
    </x:dataValidation>
    <x:dataValidation type="list" sqref="M3:M194">
      <x:formula1>Lookups!$G$2:$G$5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7b647651c6467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0" hidden="0" customWidth="1"/>
    <x:col min="4" max="4" width="48" hidden="0" customWidth="1"/>
    <x:col min="5" max="5" width="40" hidden="0" customWidth="1"/>
    <x:col min="6" max="6" width="40" hidden="0" customWidth="1"/>
    <x:col min="7" max="7" width="12" hidden="0" customWidth="1"/>
    <x:col min="8" max="8" width="18" hidden="0" customWidth="1"/>
    <x:col min="9" max="9" width="14" hidden="0" customWidth="1"/>
    <x:col min="10" max="10" width="30" hidden="0" customWidth="1"/>
  </x:cols>
  <x:sheetData>
    <x:row r="1" ht="28" customHeight="1">
      <x:c r="A1" s="15" t="str">
        <x:v>Monthly Gate Review — Go / No-Go</x:v>
      </x:c>
    </x:row>
    <x:row r="2" ht="28" customHeight="1">
      <x:c r="A2" s="6" t="str">
        <x:v>Month</x:v>
      </x:c>
      <x:c r="B2" s="6" t="str">
        <x:v>Gate Objective</x:v>
      </x:c>
      <x:c r="C2" s="6" t="str">
        <x:v>Engineering Criteria</x:v>
      </x:c>
      <x:c r="D2" s="6" t="str">
        <x:v>Sales/Marketing Criteria</x:v>
      </x:c>
      <x:c r="E2" s="6" t="str">
        <x:v>Target Evidence</x:v>
      </x:c>
      <x:c r="F2" s="6" t="str">
        <x:v>Actual Evidence</x:v>
      </x:c>
      <x:c r="G2" s="6" t="str">
        <x:v>Decision</x:v>
      </x:c>
      <x:c r="H2" s="6" t="str">
        <x:v>Owner</x:v>
      </x:c>
      <x:c r="I2" s="6" t="str">
        <x:v>Decision Date</x:v>
      </x:c>
      <x:c r="J2" s="6" t="str">
        <x:v>Notes</x:v>
      </x:c>
    </x:row>
    <x:row r="3">
      <x:c r="A3" s="28" t="str">
        <x:v>Month 1</x:v>
      </x:c>
      <x:c r="B3" s="28" t="str">
        <x:v>Foundation Gate</x:v>
      </x:c>
      <x:c r="C3" s="28" t="str">
        <x:v>OpenNebula CE running; 2 KVM hosts registered; manual VM lifecycle success</x:v>
      </x:c>
      <x:c r="D3" s="28" t="str">
        <x:v>ICP and battle card draft ready</x:v>
      </x:c>
      <x:c r="E3" s="28" t="str">
        <x:v>Install notes, VM test result, pitch narrative</x:v>
      </x:c>
      <x:c r="F3" s="28" t="str"/>
      <x:c r="G3" s="28" t="str">
        <x:v>Open</x:v>
      </x:c>
      <x:c r="H3" s="28" t="str">
        <x:v>CTO/PO</x:v>
      </x:c>
      <x:c r="I3" s="42" t="str"/>
      <x:c r="J3" s="28" t="str"/>
    </x:row>
    <x:row r="4">
      <x:c r="A4" s="28" t="str">
        <x:v>Month 2</x:v>
      </x:c>
      <x:c r="B4" s="28" t="str">
        <x:v>API Gate</x:v>
      </x:c>
      <x:c r="C4" s="28" t="str">
        <x:v>Saft API Adapter and VM lifecycle via API working</x:v>
      </x:c>
      <x:c r="D4" s="28" t="str">
        <x:v>Product sheet and discovery script ready</x:v>
      </x:c>
      <x:c r="E4" s="28" t="str">
        <x:v>API docs, test collection, product sheet</x:v>
      </x:c>
      <x:c r="F4" s="28" t="str"/>
      <x:c r="G4" s="28" t="str">
        <x:v>Open</x:v>
      </x:c>
      <x:c r="H4" s="28" t="str">
        <x:v>CTO/Architect</x:v>
      </x:c>
      <x:c r="I4" s="42" t="str"/>
      <x:c r="J4" s="28" t="str"/>
    </x:row>
    <x:row r="5">
      <x:c r="A5" s="28" t="str">
        <x:v>Month 3</x:v>
      </x:c>
      <x:c r="B5" s="28" t="str">
        <x:v>Portal Gate</x:v>
      </x:c>
      <x:c r="C5" s="28" t="str">
        <x:v>Portal MVP demo-ready; monitoring dashboard running</x:v>
      </x:c>
      <x:c r="D5" s="28" t="str">
        <x:v>Sales deck v1 and health report ready</x:v>
      </x:c>
      <x:c r="E5" s="28" t="str">
        <x:v>Demo recording, dashboard screenshot, sales deck</x:v>
      </x:c>
      <x:c r="F5" s="28" t="str"/>
      <x:c r="G5" s="28" t="str">
        <x:v>Open</x:v>
      </x:c>
      <x:c r="H5" s="28" t="str">
        <x:v>CTO/PO</x:v>
      </x:c>
      <x:c r="I5" s="42" t="str"/>
      <x:c r="J5" s="28" t="str"/>
    </x:row>
    <x:row r="6">
      <x:c r="A6" s="28" t="str">
        <x:v>Month 4</x:v>
      </x:c>
      <x:c r="B6" s="28" t="str">
        <x:v>Governance Gate</x:v>
      </x:c>
      <x:c r="C6" s="28" t="str">
        <x:v>Backup Governance and Reporting PDF/Excel ready</x:v>
      </x:c>
      <x:c r="D6" s="28" t="str">
        <x:v>Backup and procurement narrative ready</x:v>
      </x:c>
      <x:c r="E6" s="28" t="str">
        <x:v>Backup report, PDF/Excel, proposal v2</x:v>
      </x:c>
      <x:c r="F6" s="28" t="str"/>
      <x:c r="G6" s="28" t="str">
        <x:v>Open</x:v>
      </x:c>
      <x:c r="H6" s="28" t="str">
        <x:v>CTO/QA</x:v>
      </x:c>
      <x:c r="I6" s="42" t="str"/>
      <x:c r="J6" s="28" t="str"/>
    </x:row>
    <x:row r="7">
      <x:c r="A7" s="28" t="str">
        <x:v>Month 5</x:v>
      </x:c>
      <x:c r="B7" s="28" t="str">
        <x:v>Market Capture Gate</x:v>
      </x:c>
      <x:c r="C7" s="28" t="str">
        <x:v>Migration Workbench and Cloud Lite v1 ready</x:v>
      </x:c>
      <x:c r="D7" s="28" t="str">
        <x:v>VMware Exit, Proxmox Rescue, Cloud Lite campaign ready</x:v>
      </x:c>
      <x:c r="E7" s="28" t="str">
        <x:v>Migration demo, Cloud Lite demo, campaigns</x:v>
      </x:c>
      <x:c r="F7" s="28" t="str"/>
      <x:c r="G7" s="28" t="str">
        <x:v>Open</x:v>
      </x:c>
      <x:c r="H7" s="28" t="str">
        <x:v>CTO/Sales</x:v>
      </x:c>
      <x:c r="I7" s="42" t="str"/>
      <x:c r="J7" s="28" t="str"/>
    </x:row>
    <x:row r="8">
      <x:c r="A8" s="28" t="str">
        <x:v>Month 6</x:v>
      </x:c>
      <x:c r="B8" s="28" t="str">
        <x:v>POC Release Gate</x:v>
      </x:c>
      <x:c r="C8" s="28" t="str">
        <x:v>Installer, UAT &gt;=85%, SOP complete</x:v>
      </x:c>
      <x:c r="D8" s="28" t="str">
        <x:v>POC proposal/RAB/SOW/SLA ready; 3-5 meetings planned</x:v>
      </x:c>
      <x:c r="E8" s="28" t="str">
        <x:v>UAT report, release note, POC package</x:v>
      </x:c>
      <x:c r="F8" s="28" t="str"/>
      <x:c r="G8" s="28" t="str">
        <x:v>Open</x:v>
      </x:c>
      <x:c r="H8" s="28" t="str">
        <x:v>CTO</x:v>
      </x:c>
      <x:c r="I8" s="42" t="str"/>
      <x:c r="J8" s="28" t="str"/>
    </x:row>
  </x:sheetData>
  <x:mergeCells>
    <x:mergeCell ref="A1:J1"/>
  </x:mergeCells>
  <x:dataValidations count="1">
    <x:dataValidation type="list" sqref="G3:G8">
      <x:formula1>Lookups!$G$2:$G$5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ad56f2cfb045a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50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20" hidden="0" customWidth="1"/>
    <x:col min="9" max="9" width="46" hidden="0" customWidth="1"/>
    <x:col min="10" max="10" width="46" hidden="0" customWidth="1"/>
    <x:col min="11" max="11" width="12" hidden="0" customWidth="1"/>
    <x:col min="12" max="12" width="12" hidden="0" customWidth="1"/>
    <x:col min="13" max="13" width="12" hidden="0" customWidth="1"/>
    <x:col min="14" max="14" width="30" hidden="0" customWidth="1"/>
  </x:cols>
  <x:sheetData>
    <x:row r="1" ht="28" customHeight="1">
      <x:c r="A1" s="15" t="str">
        <x:v>Saft VE Risk / RAID Register</x:v>
      </x:c>
    </x:row>
    <x:row r="2" ht="28" customHeight="1">
      <x:c r="A2" s="6" t="str">
        <x:v>Risk ID</x:v>
      </x:c>
      <x:c r="B2" s="6" t="str">
        <x:v>Category</x:v>
      </x:c>
      <x:c r="C2" s="6" t="str">
        <x:v>Risk Description</x:v>
      </x:c>
      <x:c r="D2" s="6" t="str">
        <x:v>Impact</x:v>
      </x:c>
      <x:c r="E2" s="6" t="str">
        <x:v>Probability</x:v>
      </x:c>
      <x:c r="F2" s="6" t="str">
        <x:v>Severity</x:v>
      </x:c>
      <x:c r="G2" s="6" t="str">
        <x:v>RAG</x:v>
      </x:c>
      <x:c r="H2" s="6" t="str">
        <x:v>Owner</x:v>
      </x:c>
      <x:c r="I2" s="6" t="str">
        <x:v>Mitigation</x:v>
      </x:c>
      <x:c r="J2" s="6" t="str">
        <x:v>Contingency</x:v>
      </x:c>
      <x:c r="K2" s="6" t="str">
        <x:v>Due Sprint</x:v>
      </x:c>
      <x:c r="L2" s="6" t="str">
        <x:v>Status</x:v>
      </x:c>
      <x:c r="M2" s="6" t="str">
        <x:v>Aging Days</x:v>
      </x:c>
      <x:c r="N2" s="6" t="str">
        <x:v>Notes</x:v>
      </x:c>
    </x:row>
    <x:row r="3">
      <x:c r="A3" s="28" t="str">
        <x:v>R-001</x:v>
      </x:c>
      <x:c r="B3" s="28" t="str">
        <x:v>Technical</x:v>
      </x:c>
      <x:c r="C3" s="28" t="str">
        <x:v>OpenNebula CE instability or compatibility issues in lab</x:v>
      </x:c>
      <x:c r="D3" s="28" t="str">
        <x:v>High</x:v>
      </x:c>
      <x:c r="E3" s="28" t="n">
        <x:v>3</x:v>
      </x:c>
      <x:c r="F3" s="28" t="n">
        <x:v>4</x:v>
      </x:c>
      <x:c r="G3" s="28" t="str">
        <x:f>IF(F3&gt;=5,"Red",IF(F3&gt;=4,"Yellow","Green"))</x:f>
        <x:v>Yellow</x:v>
      </x:c>
      <x:c r="H3" s="28" t="str">
        <x:v>Infra</x:v>
      </x:c>
      <x:c r="I3" s="28" t="str">
        <x:v>Use supported OS/HCL, document install steps, keep fallback snapshot</x:v>
      </x:c>
      <x:c r="J3" s="28" t="str">
        <x:v>Escalate to rebuild lab or adjust topology</x:v>
      </x:c>
      <x:c r="K3" s="28" t="str">
        <x:v>Sprint 1</x:v>
      </x:c>
      <x:c r="L3" s="28" t="str">
        <x:v>Open</x:v>
      </x:c>
      <x:c r="M3" s="28" t="n">
        <x:v>0</x:v>
      </x:c>
      <x:c r="N3" s="28" t="str"/>
    </x:row>
    <x:row r="4">
      <x:c r="A4" s="28" t="str">
        <x:v>R-002</x:v>
      </x:c>
      <x:c r="B4" s="28" t="str">
        <x:v>Technical</x:v>
      </x:c>
      <x:c r="C4" s="28" t="str">
        <x:v>Saft Portal perceived as OpenNebula rebrand</x:v>
      </x:c>
      <x:c r="D4" s="28" t="str">
        <x:v>High</x:v>
      </x:c>
      <x:c r="E4" s="28" t="n">
        <x:v>3</x:v>
      </x:c>
      <x:c r="F4" s="28" t="n">
        <x:v>4</x:v>
      </x:c>
      <x:c r="G4" s="28" t="str">
        <x:f>IF(F4&gt;=5,"Red",IF(F4&gt;=4,"Yellow","Green"))</x:f>
        <x:v>Yellow</x:v>
      </x:c>
      <x:c r="H4" s="28" t="str">
        <x:v>Product/Sales</x:v>
      </x:c>
      <x:c r="I4" s="28" t="str">
        <x:v>Build unique portal, migration, backup governance, reporting, SOP</x:v>
      </x:c>
      <x:c r="J4" s="28" t="str">
        <x:v>Reposition as implementation/support package if product layer delayed</x:v>
      </x:c>
      <x:c r="K4" s="28" t="str">
        <x:v>Sprint 4</x:v>
      </x:c>
      <x:c r="L4" s="28" t="str">
        <x:v>Open</x:v>
      </x:c>
      <x:c r="M4" s="28" t="n">
        <x:v>0</x:v>
      </x:c>
      <x:c r="N4" s="28" t="str"/>
    </x:row>
    <x:row r="5">
      <x:c r="A5" s="28" t="str">
        <x:v>R-003</x:v>
      </x:c>
      <x:c r="B5" s="28" t="str">
        <x:v>Technical</x:v>
      </x:c>
      <x:c r="C5" s="28" t="str">
        <x:v>Backup/restore consistency failure</x:v>
      </x:c>
      <x:c r="D5" s="28" t="str">
        <x:v>Critical</x:v>
      </x:c>
      <x:c r="E5" s="28" t="n">
        <x:v>3</x:v>
      </x:c>
      <x:c r="F5" s="28" t="n">
        <x:v>5</x:v>
      </x:c>
      <x:c r="G5" s="28" t="str">
        <x:f>IF(F5&gt;=5,"Red",IF(F5&gt;=4,"Yellow","Green"))</x:f>
        <x:v>Red</x:v>
      </x:c>
      <x:c r="H5" s="28" t="str">
        <x:v>Architect/QA</x:v>
      </x:c>
      <x:c r="I5" s="28" t="str">
        <x:v>Run restore test every sprint after Sprint 6</x:v>
      </x:c>
      <x:c r="J5" s="28" t="str">
        <x:v>Limit POC backup scope and document limitation</x:v>
      </x:c>
      <x:c r="K5" s="28" t="str">
        <x:v>Sprint 6</x:v>
      </x:c>
      <x:c r="L5" s="28" t="str">
        <x:v>Open</x:v>
      </x:c>
      <x:c r="M5" s="28" t="n">
        <x:v>0</x:v>
      </x:c>
      <x:c r="N5" s="28" t="str"/>
    </x:row>
    <x:row r="6">
      <x:c r="A6" s="28" t="str">
        <x:v>R-004</x:v>
      </x:c>
      <x:c r="B6" s="28" t="str">
        <x:v>Schedule</x:v>
      </x:c>
      <x:c r="C6" s="28" t="str">
        <x:v>Scope creep from Kubernetes/AI too early</x:v>
      </x:c>
      <x:c r="D6" s="28" t="str">
        <x:v>High</x:v>
      </x:c>
      <x:c r="E6" s="28" t="n">
        <x:v>4</x:v>
      </x:c>
      <x:c r="F6" s="28" t="n">
        <x:v>4</x:v>
      </x:c>
      <x:c r="G6" s="28" t="str">
        <x:f>IF(F6&gt;=5,"Red",IF(F6&gt;=4,"Yellow","Green"))</x:f>
        <x:v>Yellow</x:v>
      </x:c>
      <x:c r="H6" s="28" t="str">
        <x:v>PO</x:v>
      </x:c>
      <x:c r="I6" s="28" t="str">
        <x:v>Keep K8s/AI in roadmap only, not POC core</x:v>
      </x:c>
      <x:c r="J6" s="28" t="str">
        <x:v>Cut Cloud Lite scope if needed</x:v>
      </x:c>
      <x:c r="K6" s="28" t="str">
        <x:v>Sprint 0</x:v>
      </x:c>
      <x:c r="L6" s="28" t="str">
        <x:v>Open</x:v>
      </x:c>
      <x:c r="M6" s="28" t="n">
        <x:v>0</x:v>
      </x:c>
      <x:c r="N6" s="28" t="str"/>
    </x:row>
    <x:row r="7">
      <x:c r="A7" s="28" t="str">
        <x:v>R-005</x:v>
      </x:c>
      <x:c r="B7" s="28" t="str">
        <x:v>Capability</x:v>
      </x:c>
      <x:c r="C7" s="28" t="str">
        <x:v>Team lacks OpenNebula operational skill</x:v>
      </x:c>
      <x:c r="D7" s="28" t="str">
        <x:v>High</x:v>
      </x:c>
      <x:c r="E7" s="28" t="n">
        <x:v>3</x:v>
      </x:c>
      <x:c r="F7" s="28" t="n">
        <x:v>4</x:v>
      </x:c>
      <x:c r="G7" s="28" t="str">
        <x:f>IF(F7&gt;=5,"Red",IF(F7&gt;=4,"Yellow","Green"))</x:f>
        <x:v>Yellow</x:v>
      </x:c>
      <x:c r="H7" s="28" t="str">
        <x:v>CTO</x:v>
      </x:c>
      <x:c r="I7" s="28" t="str">
        <x:v>Training, lab practice, runbook</x:v>
      </x:c>
      <x:c r="J7" s="28" t="str">
        <x:v>Bring external advisor if blocked &gt;5 days</x:v>
      </x:c>
      <x:c r="K7" s="28" t="str">
        <x:v>Sprint 1</x:v>
      </x:c>
      <x:c r="L7" s="28" t="str">
        <x:v>Open</x:v>
      </x:c>
      <x:c r="M7" s="28" t="n">
        <x:v>0</x:v>
      </x:c>
      <x:c r="N7" s="28" t="str"/>
    </x:row>
    <x:row r="8">
      <x:c r="A8" s="28" t="str">
        <x:v>R-006</x:v>
      </x:c>
      <x:c r="B8" s="28" t="str">
        <x:v>Commercial</x:v>
      </x:c>
      <x:c r="C8" s="28" t="str">
        <x:v>Market compares Saft VE directly to Proxmox feature maturity</x:v>
      </x:c>
      <x:c r="D8" s="28" t="str">
        <x:v>Medium</x:v>
      </x:c>
      <x:c r="E8" s="28" t="n">
        <x:v>4</x:v>
      </x:c>
      <x:c r="F8" s="28" t="n">
        <x:v>3</x:v>
      </x:c>
      <x:c r="G8" s="28" t="str">
        <x:f>IF(F8&gt;=5,"Red",IF(F8&gt;=4,"Yellow","Green"))</x:f>
        <x:v>Green</x:v>
      </x:c>
      <x:c r="H8" s="28" t="str">
        <x:v>Sales</x:v>
      </x:c>
      <x:c r="I8" s="28" t="str">
        <x:v>Use operational readiness positioning</x:v>
      </x:c>
      <x:c r="J8" s="28" t="str">
        <x:v>Avoid feature war; sell migration/support/backup/reporting</x:v>
      </x:c>
      <x:c r="K8" s="28" t="str">
        <x:v>Sprint 4</x:v>
      </x:c>
      <x:c r="L8" s="28" t="str">
        <x:v>Open</x:v>
      </x:c>
      <x:c r="M8" s="28" t="n">
        <x:v>0</x:v>
      </x:c>
      <x:c r="N8" s="28" t="str"/>
    </x:row>
    <x:row r="9">
      <x:c r="A9" s="28" t="str">
        <x:v>R-007</x:v>
      </x:c>
      <x:c r="B9" s="28" t="str">
        <x:v>Security</x:v>
      </x:c>
      <x:c r="C9" s="28" t="str">
        <x:v>Service account/API credential leakage</x:v>
      </x:c>
      <x:c r="D9" s="28" t="str">
        <x:v>High</x:v>
      </x:c>
      <x:c r="E9" s="28" t="n">
        <x:v>2</x:v>
      </x:c>
      <x:c r="F9" s="28" t="n">
        <x:v>4</x:v>
      </x:c>
      <x:c r="G9" s="28" t="str">
        <x:f>IF(F9&gt;=5,"Red",IF(F9&gt;=4,"Yellow","Green"))</x:f>
        <x:v>Yellow</x:v>
      </x:c>
      <x:c r="H9" s="28" t="str">
        <x:v>Architect/Backend</x:v>
      </x:c>
      <x:c r="I9" s="28" t="str">
        <x:v>Use env secrets, limited permission, audit log</x:v>
      </x:c>
      <x:c r="J9" s="28" t="str">
        <x:v>Rotate credential and revoke service account</x:v>
      </x:c>
      <x:c r="K9" s="28" t="str">
        <x:v>Sprint 2</x:v>
      </x:c>
      <x:c r="L9" s="28" t="str">
        <x:v>Open</x:v>
      </x:c>
      <x:c r="M9" s="28" t="n">
        <x:v>0</x:v>
      </x:c>
      <x:c r="N9" s="28" t="str"/>
    </x:row>
    <x:row r="10">
      <x:c r="A10" s="28" t="str">
        <x:v>R-008</x:v>
      </x:c>
      <x:c r="B10" s="28" t="str">
        <x:v>Infrastructure</x:v>
      </x:c>
      <x:c r="C10" s="28" t="str">
        <x:v>Lab hardware insufficient for realistic demo</x:v>
      </x:c>
      <x:c r="D10" s="28" t="str">
        <x:v>Medium</x:v>
      </x:c>
      <x:c r="E10" s="28" t="n">
        <x:v>3</x:v>
      </x:c>
      <x:c r="F10" s="28" t="n">
        <x:v>3</x:v>
      </x:c>
      <x:c r="G10" s="28" t="str">
        <x:f>IF(F10&gt;=5,"Red",IF(F10&gt;=4,"Yellow","Green"))</x:f>
        <x:v>Green</x:v>
      </x:c>
      <x:c r="H10" s="28" t="str">
        <x:v>Infra</x:v>
      </x:c>
      <x:c r="I10" s="28" t="str">
        <x:v>Set minimum lab sizing and monitor capacity</x:v>
      </x:c>
      <x:c r="J10" s="28" t="str">
        <x:v>Reduce VM count/demo workloads</x:v>
      </x:c>
      <x:c r="K10" s="28" t="str">
        <x:v>Sprint 1</x:v>
      </x:c>
      <x:c r="L10" s="28" t="str">
        <x:v>Open</x:v>
      </x:c>
      <x:c r="M10" s="28" t="n">
        <x:v>0</x:v>
      </x:c>
      <x:c r="N10" s="28" t="str"/>
    </x:row>
  </x:sheetData>
  <x:mergeCells>
    <x:mergeCell ref="A1:N1"/>
  </x:mergeCells>
  <x:conditionalFormatting sqref="G3:G10">
    <x:cfRule type="expression" dxfId="20" priority="1">
      <x:formula>G3="Green"</x:formula>
    </x:cfRule>
    <x:cfRule type="expression" dxfId="21" priority="2">
      <x:formula>G3="Yellow"</x:formula>
    </x:cfRule>
    <x:cfRule type="expression" dxfId="22" priority="3">
      <x:formula>G3="Red"</x:formula>
    </x:cfRule>
    <x:cfRule type="expression" dxfId="23" priority="4">
      <x:formula>G3="Black"</x:formula>
    </x:cfRule>
  </x:conditionalFormatting>
  <x:dataValidations count="2">
    <x:dataValidation type="list" sqref="G3:G10">
      <x:formula1>Lookups!$C$2:$C$5</x:formula1>
    </x:dataValidation>
    <x:dataValidation type="list" sqref="L3:L10">
      <x:formula1>Lookups!$G$2:$G$5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c9e4e2d14b47f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0" hidden="0" customWidth="1"/>
    <x:col min="5" max="5" width="42" hidden="0" customWidth="1"/>
    <x:col min="6" max="6" width="28" hidden="0" customWidth="1"/>
    <x:col min="7" max="7" width="18" hidden="0" customWidth="1"/>
    <x:col min="8" max="8" width="22" hidden="0" customWidth="1"/>
    <x:col min="9" max="9" width="12" hidden="0" customWidth="1"/>
    <x:col min="10" max="10" width="15" hidden="0" customWidth="1"/>
    <x:col min="11" max="11" width="30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10" hidden="0" customWidth="1"/>
    <x:col min="17" max="17" width="32" hidden="0" customWidth="1"/>
  </x:cols>
  <x:sheetData>
    <x:row r="1" ht="28" customHeight="1">
      <x:c r="A1" s="15" t="str">
        <x:v>Saft VE Sales / Pilot Pipeline Tracker</x:v>
      </x:c>
    </x:row>
    <x:row r="2" ht="28" customHeight="1">
      <x:c r="A2" s="6" t="str">
        <x:v>Account ID</x:v>
      </x:c>
      <x:c r="B2" s="6" t="str">
        <x:v>Account Name</x:v>
      </x:c>
      <x:c r="C2" s="6" t="str">
        <x:v>Segment</x:v>
      </x:c>
      <x:c r="D2" s="6" t="str">
        <x:v>Contact/PIC</x:v>
      </x:c>
      <x:c r="E2" s="6" t="str">
        <x:v>Pain Point</x:v>
      </x:c>
      <x:c r="F2" s="6" t="str">
        <x:v>Competitor Context</x:v>
      </x:c>
      <x:c r="G2" s="6" t="str">
        <x:v>Use Case</x:v>
      </x:c>
      <x:c r="H2" s="6" t="str">
        <x:v>Stage</x:v>
      </x:c>
      <x:c r="I2" s="6" t="str">
        <x:v>Probability</x:v>
      </x:c>
      <x:c r="J2" s="6" t="str">
        <x:v>Expected Value</x:v>
      </x:c>
      <x:c r="K2" s="6" t="str">
        <x:v>Next Action</x:v>
      </x:c>
      <x:c r="L2" s="6" t="str">
        <x:v>Owner</x:v>
      </x:c>
      <x:c r="M2" s="6" t="str">
        <x:v>Due Date</x:v>
      </x:c>
      <x:c r="N2" s="6" t="str">
        <x:v>Discovery Date</x:v>
      </x:c>
      <x:c r="O2" s="6" t="str">
        <x:v>Proposal Date</x:v>
      </x:c>
      <x:c r="P2" s="6" t="str">
        <x:v>RAG</x:v>
      </x:c>
      <x:c r="Q2" s="6" t="str">
        <x:v>Notes</x:v>
      </x:c>
    </x:row>
    <x:row r="3">
      <x:c r="A3" s="28" t="str">
        <x:v>ACC-001</x:v>
      </x:c>
      <x:c r="B3" s="28" t="str">
        <x:v>Target Account 1</x:v>
      </x:c>
      <x:c r="C3" s="28" t="str">
        <x:v>Pemda/BUMD</x:v>
      </x:c>
      <x:c r="D3" s="28" t="str">
        <x:v>TBD</x:v>
      </x:c>
      <x:c r="E3" s="28" t="str">
        <x:v>VMware/Hyper-V/Proxmox unmanaged / server consolidation</x:v>
      </x:c>
      <x:c r="F3" s="28" t="str">
        <x:v>TBD</x:v>
      </x:c>
      <x:c r="G3" s="28" t="str">
        <x:v>Saft VE POC</x:v>
      </x:c>
      <x:c r="H3" s="28" t="str">
        <x:v>Identified</x:v>
      </x:c>
      <x:c r="I3" s="43" t="n">
        <x:v>0.1</x:v>
      </x:c>
      <x:c r="J3" s="52" t="str"/>
      <x:c r="K3" s="28" t="str">
        <x:v>Discovery call</x:v>
      </x:c>
      <x:c r="L3" s="28" t="str">
        <x:v>Sales</x:v>
      </x:c>
      <x:c r="M3" s="42" t="str"/>
      <x:c r="N3" s="42" t="str"/>
      <x:c r="O3" s="42" t="str"/>
      <x:c r="P3" s="28" t="str">
        <x:v>Green</x:v>
      </x:c>
      <x:c r="Q3" s="28" t="str"/>
    </x:row>
    <x:row r="4">
      <x:c r="A4" s="28" t="str">
        <x:v>ACC-002</x:v>
      </x:c>
      <x:c r="B4" s="28" t="str">
        <x:v>Target Account 2</x:v>
      </x:c>
      <x:c r="C4" s="28" t="str">
        <x:v>Kampus</x:v>
      </x:c>
      <x:c r="D4" s="28" t="str">
        <x:v>TBD</x:v>
      </x:c>
      <x:c r="E4" s="28" t="str">
        <x:v>VMware/Hyper-V/Proxmox unmanaged / server consolidation</x:v>
      </x:c>
      <x:c r="F4" s="28" t="str">
        <x:v>TBD</x:v>
      </x:c>
      <x:c r="G4" s="28" t="str">
        <x:v>Saft VE POC</x:v>
      </x:c>
      <x:c r="H4" s="28" t="str">
        <x:v>Identified</x:v>
      </x:c>
      <x:c r="I4" s="43" t="n">
        <x:v>0.1</x:v>
      </x:c>
      <x:c r="J4" s="52" t="str"/>
      <x:c r="K4" s="28" t="str">
        <x:v>Discovery call</x:v>
      </x:c>
      <x:c r="L4" s="28" t="str">
        <x:v>Sales</x:v>
      </x:c>
      <x:c r="M4" s="42" t="str"/>
      <x:c r="N4" s="42" t="str"/>
      <x:c r="O4" s="42" t="str"/>
      <x:c r="P4" s="28" t="str">
        <x:v>Green</x:v>
      </x:c>
      <x:c r="Q4" s="28" t="str"/>
    </x:row>
    <x:row r="5">
      <x:c r="A5" s="28" t="str">
        <x:v>ACC-003</x:v>
      </x:c>
      <x:c r="B5" s="28" t="str">
        <x:v>Target Account 3</x:v>
      </x:c>
      <x:c r="C5" s="28" t="str">
        <x:v>Rumah Sakit</x:v>
      </x:c>
      <x:c r="D5" s="28" t="str">
        <x:v>TBD</x:v>
      </x:c>
      <x:c r="E5" s="28" t="str">
        <x:v>VMware/Hyper-V/Proxmox unmanaged / server consolidation</x:v>
      </x:c>
      <x:c r="F5" s="28" t="str">
        <x:v>TBD</x:v>
      </x:c>
      <x:c r="G5" s="28" t="str">
        <x:v>Saft VE POC</x:v>
      </x:c>
      <x:c r="H5" s="28" t="str">
        <x:v>Identified</x:v>
      </x:c>
      <x:c r="I5" s="43" t="n">
        <x:v>0.1</x:v>
      </x:c>
      <x:c r="J5" s="52" t="str"/>
      <x:c r="K5" s="28" t="str">
        <x:v>Discovery call</x:v>
      </x:c>
      <x:c r="L5" s="28" t="str">
        <x:v>Sales</x:v>
      </x:c>
      <x:c r="M5" s="42" t="str"/>
      <x:c r="N5" s="42" t="str"/>
      <x:c r="O5" s="42" t="str"/>
      <x:c r="P5" s="28" t="str">
        <x:v>Green</x:v>
      </x:c>
      <x:c r="Q5" s="28" t="str"/>
    </x:row>
    <x:row r="6">
      <x:c r="A6" s="28" t="str">
        <x:v>ACC-004</x:v>
      </x:c>
      <x:c r="B6" s="28" t="str">
        <x:v>Target Account 4</x:v>
      </x:c>
      <x:c r="C6" s="28" t="str">
        <x:v>Enterprise</x:v>
      </x:c>
      <x:c r="D6" s="28" t="str">
        <x:v>TBD</x:v>
      </x:c>
      <x:c r="E6" s="28" t="str">
        <x:v>VMware/Hyper-V/Proxmox unmanaged / server consolidation</x:v>
      </x:c>
      <x:c r="F6" s="28" t="str">
        <x:v>TBD</x:v>
      </x:c>
      <x:c r="G6" s="28" t="str">
        <x:v>Saft VE POC</x:v>
      </x:c>
      <x:c r="H6" s="28" t="str">
        <x:v>Identified</x:v>
      </x:c>
      <x:c r="I6" s="43" t="n">
        <x:v>0.1</x:v>
      </x:c>
      <x:c r="J6" s="52" t="str"/>
      <x:c r="K6" s="28" t="str">
        <x:v>Discovery call</x:v>
      </x:c>
      <x:c r="L6" s="28" t="str">
        <x:v>Sales</x:v>
      </x:c>
      <x:c r="M6" s="42" t="str"/>
      <x:c r="N6" s="42" t="str"/>
      <x:c r="O6" s="42" t="str"/>
      <x:c r="P6" s="28" t="str">
        <x:v>Green</x:v>
      </x:c>
      <x:c r="Q6" s="28" t="str"/>
    </x:row>
    <x:row r="7">
      <x:c r="A7" s="28" t="str">
        <x:v>ACC-005</x:v>
      </x:c>
      <x:c r="B7" s="28" t="str">
        <x:v>Target Account 5</x:v>
      </x:c>
      <x:c r="C7" s="28" t="str">
        <x:v>Data Center/MSP</x:v>
      </x:c>
      <x:c r="D7" s="28" t="str">
        <x:v>TBD</x:v>
      </x:c>
      <x:c r="E7" s="28" t="str">
        <x:v>VMware/Hyper-V/Proxmox unmanaged / server consolidation</x:v>
      </x:c>
      <x:c r="F7" s="28" t="str">
        <x:v>TBD</x:v>
      </x:c>
      <x:c r="G7" s="28" t="str">
        <x:v>Saft VE POC</x:v>
      </x:c>
      <x:c r="H7" s="28" t="str">
        <x:v>Identified</x:v>
      </x:c>
      <x:c r="I7" s="43" t="n">
        <x:v>0.1</x:v>
      </x:c>
      <x:c r="J7" s="52" t="str"/>
      <x:c r="K7" s="28" t="str">
        <x:v>Discovery call</x:v>
      </x:c>
      <x:c r="L7" s="28" t="str">
        <x:v>Sales</x:v>
      </x:c>
      <x:c r="M7" s="42" t="str"/>
      <x:c r="N7" s="42" t="str"/>
      <x:c r="O7" s="42" t="str"/>
      <x:c r="P7" s="28" t="str">
        <x:v>Green</x:v>
      </x:c>
      <x:c r="Q7" s="28" t="str"/>
    </x:row>
    <x:row r="8">
      <x:c r="A8" s="28" t="str">
        <x:v>ACC-006</x:v>
      </x:c>
      <x:c r="B8" s="28" t="str">
        <x:v>Target Account 6</x:v>
      </x:c>
      <x:c r="C8" s="28" t="str">
        <x:v>Pemda/BUMD</x:v>
      </x:c>
      <x:c r="D8" s="28" t="str">
        <x:v>TBD</x:v>
      </x:c>
      <x:c r="E8" s="28" t="str">
        <x:v>VMware/Hyper-V/Proxmox unmanaged / server consolidation</x:v>
      </x:c>
      <x:c r="F8" s="28" t="str">
        <x:v>TBD</x:v>
      </x:c>
      <x:c r="G8" s="28" t="str">
        <x:v>Saft VE POC</x:v>
      </x:c>
      <x:c r="H8" s="28" t="str">
        <x:v>Identified</x:v>
      </x:c>
      <x:c r="I8" s="43" t="n">
        <x:v>0.1</x:v>
      </x:c>
      <x:c r="J8" s="52" t="str"/>
      <x:c r="K8" s="28" t="str">
        <x:v>Discovery call</x:v>
      </x:c>
      <x:c r="L8" s="28" t="str">
        <x:v>Sales</x:v>
      </x:c>
      <x:c r="M8" s="42" t="str"/>
      <x:c r="N8" s="42" t="str"/>
      <x:c r="O8" s="42" t="str"/>
      <x:c r="P8" s="28" t="str">
        <x:v>Green</x:v>
      </x:c>
      <x:c r="Q8" s="28" t="str"/>
    </x:row>
    <x:row r="9">
      <x:c r="A9" s="28" t="str">
        <x:v>ACC-007</x:v>
      </x:c>
      <x:c r="B9" s="28" t="str">
        <x:v>Target Account 7</x:v>
      </x:c>
      <x:c r="C9" s="28" t="str">
        <x:v>Kampus</x:v>
      </x:c>
      <x:c r="D9" s="28" t="str">
        <x:v>TBD</x:v>
      </x:c>
      <x:c r="E9" s="28" t="str">
        <x:v>VMware/Hyper-V/Proxmox unmanaged / server consolidation</x:v>
      </x:c>
      <x:c r="F9" s="28" t="str">
        <x:v>TBD</x:v>
      </x:c>
      <x:c r="G9" s="28" t="str">
        <x:v>Saft VE POC</x:v>
      </x:c>
      <x:c r="H9" s="28" t="str">
        <x:v>Identified</x:v>
      </x:c>
      <x:c r="I9" s="43" t="n">
        <x:v>0.1</x:v>
      </x:c>
      <x:c r="J9" s="52" t="str"/>
      <x:c r="K9" s="28" t="str">
        <x:v>Discovery call</x:v>
      </x:c>
      <x:c r="L9" s="28" t="str">
        <x:v>Sales</x:v>
      </x:c>
      <x:c r="M9" s="42" t="str"/>
      <x:c r="N9" s="42" t="str"/>
      <x:c r="O9" s="42" t="str"/>
      <x:c r="P9" s="28" t="str">
        <x:v>Green</x:v>
      </x:c>
      <x:c r="Q9" s="28" t="str"/>
    </x:row>
    <x:row r="10">
      <x:c r="A10" s="28" t="str">
        <x:v>ACC-008</x:v>
      </x:c>
      <x:c r="B10" s="28" t="str">
        <x:v>Target Account 8</x:v>
      </x:c>
      <x:c r="C10" s="28" t="str">
        <x:v>Rumah Sakit</x:v>
      </x:c>
      <x:c r="D10" s="28" t="str">
        <x:v>TBD</x:v>
      </x:c>
      <x:c r="E10" s="28" t="str">
        <x:v>VMware/Hyper-V/Proxmox unmanaged / server consolidation</x:v>
      </x:c>
      <x:c r="F10" s="28" t="str">
        <x:v>TBD</x:v>
      </x:c>
      <x:c r="G10" s="28" t="str">
        <x:v>Saft VE POC</x:v>
      </x:c>
      <x:c r="H10" s="28" t="str">
        <x:v>Identified</x:v>
      </x:c>
      <x:c r="I10" s="43" t="n">
        <x:v>0.1</x:v>
      </x:c>
      <x:c r="J10" s="52" t="str"/>
      <x:c r="K10" s="28" t="str">
        <x:v>Discovery call</x:v>
      </x:c>
      <x:c r="L10" s="28" t="str">
        <x:v>Sales</x:v>
      </x:c>
      <x:c r="M10" s="42" t="str"/>
      <x:c r="N10" s="42" t="str"/>
      <x:c r="O10" s="42" t="str"/>
      <x:c r="P10" s="28" t="str">
        <x:v>Green</x:v>
      </x:c>
      <x:c r="Q10" s="28" t="str"/>
    </x:row>
    <x:row r="11">
      <x:c r="A11" s="28" t="str">
        <x:v>ACC-009</x:v>
      </x:c>
      <x:c r="B11" s="28" t="str">
        <x:v>Target Account 9</x:v>
      </x:c>
      <x:c r="C11" s="28" t="str">
        <x:v>Enterprise</x:v>
      </x:c>
      <x:c r="D11" s="28" t="str">
        <x:v>TBD</x:v>
      </x:c>
      <x:c r="E11" s="28" t="str">
        <x:v>VMware/Hyper-V/Proxmox unmanaged / server consolidation</x:v>
      </x:c>
      <x:c r="F11" s="28" t="str">
        <x:v>TBD</x:v>
      </x:c>
      <x:c r="G11" s="28" t="str">
        <x:v>Saft VE POC</x:v>
      </x:c>
      <x:c r="H11" s="28" t="str">
        <x:v>Identified</x:v>
      </x:c>
      <x:c r="I11" s="43" t="n">
        <x:v>0.1</x:v>
      </x:c>
      <x:c r="J11" s="52" t="str"/>
      <x:c r="K11" s="28" t="str">
        <x:v>Discovery call</x:v>
      </x:c>
      <x:c r="L11" s="28" t="str">
        <x:v>Sales</x:v>
      </x:c>
      <x:c r="M11" s="42" t="str"/>
      <x:c r="N11" s="42" t="str"/>
      <x:c r="O11" s="42" t="str"/>
      <x:c r="P11" s="28" t="str">
        <x:v>Green</x:v>
      </x:c>
      <x:c r="Q11" s="28" t="str"/>
    </x:row>
    <x:row r="12">
      <x:c r="A12" s="28" t="str">
        <x:v>ACC-010</x:v>
      </x:c>
      <x:c r="B12" s="28" t="str">
        <x:v>Target Account 10</x:v>
      </x:c>
      <x:c r="C12" s="28" t="str">
        <x:v>Data Center/MSP</x:v>
      </x:c>
      <x:c r="D12" s="28" t="str">
        <x:v>TBD</x:v>
      </x:c>
      <x:c r="E12" s="28" t="str">
        <x:v>VMware/Hyper-V/Proxmox unmanaged / server consolidation</x:v>
      </x:c>
      <x:c r="F12" s="28" t="str">
        <x:v>TBD</x:v>
      </x:c>
      <x:c r="G12" s="28" t="str">
        <x:v>Saft VE POC</x:v>
      </x:c>
      <x:c r="H12" s="28" t="str">
        <x:v>Identified</x:v>
      </x:c>
      <x:c r="I12" s="43" t="n">
        <x:v>0.1</x:v>
      </x:c>
      <x:c r="J12" s="52" t="str"/>
      <x:c r="K12" s="28" t="str">
        <x:v>Discovery call</x:v>
      </x:c>
      <x:c r="L12" s="28" t="str">
        <x:v>Sales</x:v>
      </x:c>
      <x:c r="M12" s="42" t="str"/>
      <x:c r="N12" s="42" t="str"/>
      <x:c r="O12" s="42" t="str"/>
      <x:c r="P12" s="28" t="str">
        <x:v>Green</x:v>
      </x:c>
      <x:c r="Q12" s="28" t="str"/>
    </x:row>
    <x:row r="13">
      <x:c r="A13" s="28" t="str">
        <x:v>ACC-011</x:v>
      </x:c>
      <x:c r="B13" s="28" t="str">
        <x:v>Target Account 11</x:v>
      </x:c>
      <x:c r="C13" s="28" t="str">
        <x:v>Pemda/BUMD</x:v>
      </x:c>
      <x:c r="D13" s="28" t="str">
        <x:v>TBD</x:v>
      </x:c>
      <x:c r="E13" s="28" t="str">
        <x:v>VMware/Hyper-V/Proxmox unmanaged / server consolidation</x:v>
      </x:c>
      <x:c r="F13" s="28" t="str">
        <x:v>TBD</x:v>
      </x:c>
      <x:c r="G13" s="28" t="str">
        <x:v>Saft VE POC</x:v>
      </x:c>
      <x:c r="H13" s="28" t="str">
        <x:v>Identified</x:v>
      </x:c>
      <x:c r="I13" s="43" t="n">
        <x:v>0.1</x:v>
      </x:c>
      <x:c r="J13" s="52" t="str"/>
      <x:c r="K13" s="28" t="str">
        <x:v>Discovery call</x:v>
      </x:c>
      <x:c r="L13" s="28" t="str">
        <x:v>Sales</x:v>
      </x:c>
      <x:c r="M13" s="42" t="str"/>
      <x:c r="N13" s="42" t="str"/>
      <x:c r="O13" s="42" t="str"/>
      <x:c r="P13" s="28" t="str">
        <x:v>Green</x:v>
      </x:c>
      <x:c r="Q13" s="28" t="str"/>
    </x:row>
    <x:row r="14">
      <x:c r="A14" s="28" t="str">
        <x:v>ACC-012</x:v>
      </x:c>
      <x:c r="B14" s="28" t="str">
        <x:v>Target Account 12</x:v>
      </x:c>
      <x:c r="C14" s="28" t="str">
        <x:v>Kampus</x:v>
      </x:c>
      <x:c r="D14" s="28" t="str">
        <x:v>TBD</x:v>
      </x:c>
      <x:c r="E14" s="28" t="str">
        <x:v>VMware/Hyper-V/Proxmox unmanaged / server consolidation</x:v>
      </x:c>
      <x:c r="F14" s="28" t="str">
        <x:v>TBD</x:v>
      </x:c>
      <x:c r="G14" s="28" t="str">
        <x:v>Saft VE POC</x:v>
      </x:c>
      <x:c r="H14" s="28" t="str">
        <x:v>Identified</x:v>
      </x:c>
      <x:c r="I14" s="43" t="n">
        <x:v>0.1</x:v>
      </x:c>
      <x:c r="J14" s="52" t="str"/>
      <x:c r="K14" s="28" t="str">
        <x:v>Discovery call</x:v>
      </x:c>
      <x:c r="L14" s="28" t="str">
        <x:v>Sales</x:v>
      </x:c>
      <x:c r="M14" s="42" t="str"/>
      <x:c r="N14" s="42" t="str"/>
      <x:c r="O14" s="42" t="str"/>
      <x:c r="P14" s="28" t="str">
        <x:v>Green</x:v>
      </x:c>
      <x:c r="Q14" s="28" t="str"/>
    </x:row>
    <x:row r="15">
      <x:c r="A15" s="28" t="str">
        <x:v>ACC-013</x:v>
      </x:c>
      <x:c r="B15" s="28" t="str">
        <x:v>Target Account 13</x:v>
      </x:c>
      <x:c r="C15" s="28" t="str">
        <x:v>Rumah Sakit</x:v>
      </x:c>
      <x:c r="D15" s="28" t="str">
        <x:v>TBD</x:v>
      </x:c>
      <x:c r="E15" s="28" t="str">
        <x:v>VMware/Hyper-V/Proxmox unmanaged / server consolidation</x:v>
      </x:c>
      <x:c r="F15" s="28" t="str">
        <x:v>TBD</x:v>
      </x:c>
      <x:c r="G15" s="28" t="str">
        <x:v>Saft VE POC</x:v>
      </x:c>
      <x:c r="H15" s="28" t="str">
        <x:v>Identified</x:v>
      </x:c>
      <x:c r="I15" s="43" t="n">
        <x:v>0.1</x:v>
      </x:c>
      <x:c r="J15" s="52" t="str"/>
      <x:c r="K15" s="28" t="str">
        <x:v>Discovery call</x:v>
      </x:c>
      <x:c r="L15" s="28" t="str">
        <x:v>Sales</x:v>
      </x:c>
      <x:c r="M15" s="42" t="str"/>
      <x:c r="N15" s="42" t="str"/>
      <x:c r="O15" s="42" t="str"/>
      <x:c r="P15" s="28" t="str">
        <x:v>Green</x:v>
      </x:c>
      <x:c r="Q15" s="28" t="str"/>
    </x:row>
    <x:row r="16">
      <x:c r="A16" s="28" t="str">
        <x:v>ACC-014</x:v>
      </x:c>
      <x:c r="B16" s="28" t="str">
        <x:v>Target Account 14</x:v>
      </x:c>
      <x:c r="C16" s="28" t="str">
        <x:v>Enterprise</x:v>
      </x:c>
      <x:c r="D16" s="28" t="str">
        <x:v>TBD</x:v>
      </x:c>
      <x:c r="E16" s="28" t="str">
        <x:v>VMware/Hyper-V/Proxmox unmanaged / server consolidation</x:v>
      </x:c>
      <x:c r="F16" s="28" t="str">
        <x:v>TBD</x:v>
      </x:c>
      <x:c r="G16" s="28" t="str">
        <x:v>Saft VE POC</x:v>
      </x:c>
      <x:c r="H16" s="28" t="str">
        <x:v>Identified</x:v>
      </x:c>
      <x:c r="I16" s="43" t="n">
        <x:v>0.1</x:v>
      </x:c>
      <x:c r="J16" s="52" t="str"/>
      <x:c r="K16" s="28" t="str">
        <x:v>Discovery call</x:v>
      </x:c>
      <x:c r="L16" s="28" t="str">
        <x:v>Sales</x:v>
      </x:c>
      <x:c r="M16" s="42" t="str"/>
      <x:c r="N16" s="42" t="str"/>
      <x:c r="O16" s="42" t="str"/>
      <x:c r="P16" s="28" t="str">
        <x:v>Green</x:v>
      </x:c>
      <x:c r="Q16" s="28" t="str"/>
    </x:row>
    <x:row r="17">
      <x:c r="A17" s="28" t="str">
        <x:v>ACC-015</x:v>
      </x:c>
      <x:c r="B17" s="28" t="str">
        <x:v>Target Account 15</x:v>
      </x:c>
      <x:c r="C17" s="28" t="str">
        <x:v>Data Center/MSP</x:v>
      </x:c>
      <x:c r="D17" s="28" t="str">
        <x:v>TBD</x:v>
      </x:c>
      <x:c r="E17" s="28" t="str">
        <x:v>VMware/Hyper-V/Proxmox unmanaged / server consolidation</x:v>
      </x:c>
      <x:c r="F17" s="28" t="str">
        <x:v>TBD</x:v>
      </x:c>
      <x:c r="G17" s="28" t="str">
        <x:v>Saft VE POC</x:v>
      </x:c>
      <x:c r="H17" s="28" t="str">
        <x:v>Identified</x:v>
      </x:c>
      <x:c r="I17" s="43" t="n">
        <x:v>0.1</x:v>
      </x:c>
      <x:c r="J17" s="52" t="str"/>
      <x:c r="K17" s="28" t="str">
        <x:v>Discovery call</x:v>
      </x:c>
      <x:c r="L17" s="28" t="str">
        <x:v>Sales</x:v>
      </x:c>
      <x:c r="M17" s="42" t="str"/>
      <x:c r="N17" s="42" t="str"/>
      <x:c r="O17" s="42" t="str"/>
      <x:c r="P17" s="28" t="str">
        <x:v>Green</x:v>
      </x:c>
      <x:c r="Q17" s="28" t="str"/>
    </x:row>
    <x:row r="18">
      <x:c r="A18" s="28" t="str">
        <x:v>ACC-016</x:v>
      </x:c>
      <x:c r="B18" s="28" t="str">
        <x:v>Target Account 16</x:v>
      </x:c>
      <x:c r="C18" s="28" t="str">
        <x:v>Pemda/BUMD</x:v>
      </x:c>
      <x:c r="D18" s="28" t="str">
        <x:v>TBD</x:v>
      </x:c>
      <x:c r="E18" s="28" t="str">
        <x:v>VMware/Hyper-V/Proxmox unmanaged / server consolidation</x:v>
      </x:c>
      <x:c r="F18" s="28" t="str">
        <x:v>TBD</x:v>
      </x:c>
      <x:c r="G18" s="28" t="str">
        <x:v>Saft VE POC</x:v>
      </x:c>
      <x:c r="H18" s="28" t="str">
        <x:v>Identified</x:v>
      </x:c>
      <x:c r="I18" s="43" t="n">
        <x:v>0.1</x:v>
      </x:c>
      <x:c r="J18" s="52" t="str"/>
      <x:c r="K18" s="28" t="str">
        <x:v>Discovery call</x:v>
      </x:c>
      <x:c r="L18" s="28" t="str">
        <x:v>Sales</x:v>
      </x:c>
      <x:c r="M18" s="42" t="str"/>
      <x:c r="N18" s="42" t="str"/>
      <x:c r="O18" s="42" t="str"/>
      <x:c r="P18" s="28" t="str">
        <x:v>Green</x:v>
      </x:c>
      <x:c r="Q18" s="28" t="str"/>
    </x:row>
    <x:row r="19">
      <x:c r="A19" s="28" t="str">
        <x:v>ACC-017</x:v>
      </x:c>
      <x:c r="B19" s="28" t="str">
        <x:v>Target Account 17</x:v>
      </x:c>
      <x:c r="C19" s="28" t="str">
        <x:v>Kampus</x:v>
      </x:c>
      <x:c r="D19" s="28" t="str">
        <x:v>TBD</x:v>
      </x:c>
      <x:c r="E19" s="28" t="str">
        <x:v>VMware/Hyper-V/Proxmox unmanaged / server consolidation</x:v>
      </x:c>
      <x:c r="F19" s="28" t="str">
        <x:v>TBD</x:v>
      </x:c>
      <x:c r="G19" s="28" t="str">
        <x:v>Saft VE POC</x:v>
      </x:c>
      <x:c r="H19" s="28" t="str">
        <x:v>Identified</x:v>
      </x:c>
      <x:c r="I19" s="43" t="n">
        <x:v>0.1</x:v>
      </x:c>
      <x:c r="J19" s="52" t="str"/>
      <x:c r="K19" s="28" t="str">
        <x:v>Discovery call</x:v>
      </x:c>
      <x:c r="L19" s="28" t="str">
        <x:v>Sales</x:v>
      </x:c>
      <x:c r="M19" s="42" t="str"/>
      <x:c r="N19" s="42" t="str"/>
      <x:c r="O19" s="42" t="str"/>
      <x:c r="P19" s="28" t="str">
        <x:v>Green</x:v>
      </x:c>
      <x:c r="Q19" s="28" t="str"/>
    </x:row>
    <x:row r="20">
      <x:c r="A20" s="28" t="str">
        <x:v>ACC-018</x:v>
      </x:c>
      <x:c r="B20" s="28" t="str">
        <x:v>Target Account 18</x:v>
      </x:c>
      <x:c r="C20" s="28" t="str">
        <x:v>Rumah Sakit</x:v>
      </x:c>
      <x:c r="D20" s="28" t="str">
        <x:v>TBD</x:v>
      </x:c>
      <x:c r="E20" s="28" t="str">
        <x:v>VMware/Hyper-V/Proxmox unmanaged / server consolidation</x:v>
      </x:c>
      <x:c r="F20" s="28" t="str">
        <x:v>TBD</x:v>
      </x:c>
      <x:c r="G20" s="28" t="str">
        <x:v>Saft VE POC</x:v>
      </x:c>
      <x:c r="H20" s="28" t="str">
        <x:v>Identified</x:v>
      </x:c>
      <x:c r="I20" s="43" t="n">
        <x:v>0.1</x:v>
      </x:c>
      <x:c r="J20" s="52" t="str"/>
      <x:c r="K20" s="28" t="str">
        <x:v>Discovery call</x:v>
      </x:c>
      <x:c r="L20" s="28" t="str">
        <x:v>Sales</x:v>
      </x:c>
      <x:c r="M20" s="42" t="str"/>
      <x:c r="N20" s="42" t="str"/>
      <x:c r="O20" s="42" t="str"/>
      <x:c r="P20" s="28" t="str">
        <x:v>Green</x:v>
      </x:c>
      <x:c r="Q20" s="28" t="str"/>
    </x:row>
    <x:row r="21">
      <x:c r="A21" s="28" t="str">
        <x:v>ACC-019</x:v>
      </x:c>
      <x:c r="B21" s="28" t="str">
        <x:v>Target Account 19</x:v>
      </x:c>
      <x:c r="C21" s="28" t="str">
        <x:v>Enterprise</x:v>
      </x:c>
      <x:c r="D21" s="28" t="str">
        <x:v>TBD</x:v>
      </x:c>
      <x:c r="E21" s="28" t="str">
        <x:v>VMware/Hyper-V/Proxmox unmanaged / server consolidation</x:v>
      </x:c>
      <x:c r="F21" s="28" t="str">
        <x:v>TBD</x:v>
      </x:c>
      <x:c r="G21" s="28" t="str">
        <x:v>Saft VE POC</x:v>
      </x:c>
      <x:c r="H21" s="28" t="str">
        <x:v>Identified</x:v>
      </x:c>
      <x:c r="I21" s="43" t="n">
        <x:v>0.1</x:v>
      </x:c>
      <x:c r="J21" s="52" t="str"/>
      <x:c r="K21" s="28" t="str">
        <x:v>Discovery call</x:v>
      </x:c>
      <x:c r="L21" s="28" t="str">
        <x:v>Sales</x:v>
      </x:c>
      <x:c r="M21" s="42" t="str"/>
      <x:c r="N21" s="42" t="str"/>
      <x:c r="O21" s="42" t="str"/>
      <x:c r="P21" s="28" t="str">
        <x:v>Green</x:v>
      </x:c>
      <x:c r="Q21" s="28" t="str"/>
    </x:row>
    <x:row r="22">
      <x:c r="A22" s="28" t="str">
        <x:v>ACC-020</x:v>
      </x:c>
      <x:c r="B22" s="28" t="str">
        <x:v>Target Account 20</x:v>
      </x:c>
      <x:c r="C22" s="28" t="str">
        <x:v>Data Center/MSP</x:v>
      </x:c>
      <x:c r="D22" s="28" t="str">
        <x:v>TBD</x:v>
      </x:c>
      <x:c r="E22" s="28" t="str">
        <x:v>VMware/Hyper-V/Proxmox unmanaged / server consolidation</x:v>
      </x:c>
      <x:c r="F22" s="28" t="str">
        <x:v>TBD</x:v>
      </x:c>
      <x:c r="G22" s="28" t="str">
        <x:v>Saft VE POC</x:v>
      </x:c>
      <x:c r="H22" s="28" t="str">
        <x:v>Identified</x:v>
      </x:c>
      <x:c r="I22" s="43" t="n">
        <x:v>0.1</x:v>
      </x:c>
      <x:c r="J22" s="52" t="str"/>
      <x:c r="K22" s="28" t="str">
        <x:v>Discovery call</x:v>
      </x:c>
      <x:c r="L22" s="28" t="str">
        <x:v>Sales</x:v>
      </x:c>
      <x:c r="M22" s="42" t="str"/>
      <x:c r="N22" s="42" t="str"/>
      <x:c r="O22" s="42" t="str"/>
      <x:c r="P22" s="28" t="str">
        <x:v>Green</x:v>
      </x:c>
      <x:c r="Q22" s="28" t="str"/>
    </x:row>
  </x:sheetData>
  <x:mergeCells>
    <x:mergeCell ref="A1:Q1"/>
  </x:mergeCells>
  <x:conditionalFormatting sqref="P3:P22">
    <x:cfRule type="expression" dxfId="24" priority="1">
      <x:formula>P3="Green"</x:formula>
    </x:cfRule>
    <x:cfRule type="expression" dxfId="25" priority="2">
      <x:formula>P3="Yellow"</x:formula>
    </x:cfRule>
    <x:cfRule type="expression" dxfId="26" priority="3">
      <x:formula>P3="Red"</x:formula>
    </x:cfRule>
    <x:cfRule type="expression" dxfId="27" priority="4">
      <x:formula>P3="Black"</x:formula>
    </x:cfRule>
  </x:conditionalFormatting>
  <x:dataValidations count="2">
    <x:dataValidation type="list" sqref="H3:H22">
      <x:formula1>Lookups!$H$2:$H$10</x:formula1>
    </x:dataValidation>
    <x:dataValidation type="list" sqref="P3:P22">
      <x:formula1>Lookups!$C$2:$C$5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4fe457948941e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6" t="str">
        <x:v>Status</x:v>
      </x:c>
      <x:c r="B1" s="6" t="str">
        <x:v>Priority</x:v>
      </x:c>
      <x:c r="C1" s="6" t="str">
        <x:v>RAG</x:v>
      </x:c>
      <x:c r="D1" s="6" t="str">
        <x:v>Roles</x:v>
      </x:c>
      <x:c r="E1" s="6" t="str">
        <x:v>Risk Level</x:v>
      </x:c>
      <x:c r="F1" s="6" t="str">
        <x:v>Cadence</x:v>
      </x:c>
      <x:c r="G1" s="6" t="str">
        <x:v>Decision Status</x:v>
      </x:c>
      <x:c r="H1" s="6" t="str">
        <x:v>Lead Stage</x:v>
      </x:c>
    </x:row>
    <x:row r="2" ht="28" customHeight="1">
      <x:c r="A2" t="str">
        <x:v>Not Started</x:v>
      </x:c>
      <x:c r="B2" t="str">
        <x:v>Critical</x:v>
      </x:c>
      <x:c r="C2" t="str">
        <x:v>Green</x:v>
      </x:c>
      <x:c r="D2" t="str">
        <x:v>Product Owner</x:v>
      </x:c>
      <x:c r="E2" t="str">
        <x:v>Critical</x:v>
      </x:c>
      <x:c r="F2" t="str">
        <x:v>Daily</x:v>
      </x:c>
      <x:c r="G2" t="str">
        <x:v>Open</x:v>
      </x:c>
      <x:c r="H2" t="str">
        <x:v>Identified</x:v>
      </x:c>
    </x:row>
    <x:row r="3">
      <x:c r="A3" t="str">
        <x:v>In Progress</x:v>
      </x:c>
      <x:c r="B3" t="str">
        <x:v>High</x:v>
      </x:c>
      <x:c r="C3" t="str">
        <x:v>Yellow</x:v>
      </x:c>
      <x:c r="D3" t="str">
        <x:v>Solution Architect</x:v>
      </x:c>
      <x:c r="E3" t="str">
        <x:v>High</x:v>
      </x:c>
      <x:c r="F3" t="str">
        <x:v>Weekly</x:v>
      </x:c>
      <x:c r="G3" t="str">
        <x:v>Approved</x:v>
      </x:c>
      <x:c r="H3" t="str">
        <x:v>Qualified</x:v>
      </x:c>
    </x:row>
    <x:row r="4">
      <x:c r="A4" t="str">
        <x:v>Done</x:v>
      </x:c>
      <x:c r="B4" t="str">
        <x:v>Medium</x:v>
      </x:c>
      <x:c r="C4" t="str">
        <x:v>Red</x:v>
      </x:c>
      <x:c r="D4" t="str">
        <x:v>Infra/OpenNebula Engineer</x:v>
      </x:c>
      <x:c r="E4" t="str">
        <x:v>Medium</x:v>
      </x:c>
      <x:c r="F4" t="str">
        <x:v>Sprint</x:v>
      </x:c>
      <x:c r="G4" t="str">
        <x:v>Rejected</x:v>
      </x:c>
      <x:c r="H4" t="str">
        <x:v>Discovery Scheduled</x:v>
      </x:c>
    </x:row>
    <x:row r="5">
      <x:c r="A5" t="str">
        <x:v>Blocked</x:v>
      </x:c>
      <x:c r="B5" t="str">
        <x:v>Low</x:v>
      </x:c>
      <x:c r="C5" t="str">
        <x:v>Black</x:v>
      </x:c>
      <x:c r="D5" t="str">
        <x:v>Backend Engineer</x:v>
      </x:c>
      <x:c r="E5" t="str">
        <x:v>Low</x:v>
      </x:c>
      <x:c r="F5" t="str">
        <x:v>Monthly</x:v>
      </x:c>
      <x:c r="G5" t="str">
        <x:v>Deferred</x:v>
      </x:c>
      <x:c r="H5" t="str">
        <x:v>Discovery Done</x:v>
      </x:c>
    </x:row>
    <x:row r="6">
      <x:c r="A6" t="str">
        <x:v>Deferred</x:v>
      </x:c>
      <x:c r="B6"/>
      <x:c r="C6"/>
      <x:c r="D6" t="str">
        <x:v>Frontend Engineer</x:v>
      </x:c>
      <x:c r="E6"/>
      <x:c r="F6" t="str">
        <x:v>Quarterly</x:v>
      </x:c>
      <x:c r="G6"/>
      <x:c r="H6" t="str">
        <x:v>Proposal Sent</x:v>
      </x:c>
    </x:row>
    <x:row r="7">
      <x:c r="A7" t="str">
        <x:v>Cancelled</x:v>
      </x:c>
      <x:c r="B7"/>
      <x:c r="C7"/>
      <x:c r="D7" t="str">
        <x:v>QA/Tester</x:v>
      </x:c>
      <x:c r="E7"/>
      <x:c r="F7"/>
      <x:c r="G7"/>
      <x:c r="H7" t="str">
        <x:v>Pilot Negotiation</x:v>
      </x:c>
    </x:row>
    <x:row r="8">
      <x:c r="A8"/>
      <x:c r="B8"/>
      <x:c r="C8"/>
      <x:c r="D8" t="str">
        <x:v>Technical Writer</x:v>
      </x:c>
      <x:c r="E8"/>
      <x:c r="F8"/>
      <x:c r="G8"/>
      <x:c r="H8" t="str">
        <x:v>Won</x:v>
      </x:c>
    </x:row>
    <x:row r="9">
      <x:c r="A9"/>
      <x:c r="B9"/>
      <x:c r="C9"/>
      <x:c r="D9" t="str">
        <x:v>Sales/Marketing/Presales</x:v>
      </x:c>
      <x:c r="E9"/>
      <x:c r="F9"/>
      <x:c r="G9"/>
      <x:c r="H9" t="str">
        <x:v>Lost</x:v>
      </x:c>
    </x:row>
    <x:row r="10">
      <x:c r="A10"/>
      <x:c r="B10"/>
      <x:c r="C10"/>
      <x:c r="D10"/>
      <x:c r="E10"/>
      <x:c r="F10"/>
      <x:c r="G10"/>
      <x:c r="H10" t="str">
        <x:v>Nurture</x:v>
      </x:c>
    </x:row>
  </x:sheetData>
  <x:pageMargins left="0.7" right="0.7" top="0.75" bottom="0.75" header="0.3" footer="0.3"/>
</x:worksheet>
</file>